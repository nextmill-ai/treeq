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ate Card" sheetId="2" state="visible" r:id="rId4"/>
    <sheet name="Variables" sheetId="3" state="visible" r:id="rId5"/>
    <sheet name="Stump Grinding" sheetId="4" state="visible" r:id="rId6"/>
    <sheet name="Tree Removal Summary" sheetId="5" state="visible" r:id="rId7"/>
    <sheet name="Takedowns" sheetId="6" state="visible" r:id="rId8"/>
    <sheet name="Tree Removal Detailed" sheetId="7" state="visible" r:id="rId9"/>
    <sheet name="Tree Trimming Detailed" sheetId="8" state="visible" r:id="rId10"/>
    <sheet name="Job Multipliers" sheetId="9" state="visible" r:id="rId11"/>
    <sheet name="Hazard Modifiers" sheetId="10" state="visible" r:id="rId12"/>
    <sheet name="Topsoil per Stump" sheetId="11" state="visible" r:id="rId13"/>
    <sheet name="Worked Examples" sheetId="12" state="visible" r:id="rId14"/>
    <sheet name="Glossary" sheetId="13" state="visible" r:id="rId15"/>
  </sheets>
  <definedNames>
    <definedName function="false" hidden="false" name="Addon_Rate_Per_Inch" vbProcedure="false">Variables!$C$9</definedName>
    <definedName function="false" hidden="false" name="Addon_Stump_Minimum" vbProcedure="false">Variables!$C$8</definedName>
    <definedName function="false" hidden="false" name="Backfill_Depth_Cap" vbProcedure="false">Variables!$C$11</definedName>
    <definedName function="false" hidden="false" name="Backfill_Depth_Full" vbProcedure="false">Variables!$C$12</definedName>
    <definedName function="false" hidden="false" name="Cameron_Phone" vbProcedure="false">Variables!$C$17</definedName>
    <definedName function="false" hidden="false" name="Codominant_Lead_Multiplier_Max" vbProcedure="false">Variables!$C$41</definedName>
    <definedName function="false" hidden="false" name="Codominant_Lead_Multiplier_Min" vbProcedure="false">Variables!$C$40</definedName>
    <definedName function="false" hidden="false" name="CuFt_Per_Bag" vbProcedure="false">Variables!$C$13</definedName>
    <definedName function="false" hidden="false" name="CuFt_Per_CuYd" vbProcedure="false">Variables!$C$14</definedName>
    <definedName function="false" hidden="false" name="DBH_Floor_Complex_Rigging" vbProcedure="false">Variables!$C$39</definedName>
    <definedName function="false" hidden="false" name="DBH_Floor_Moderate_Rigging" vbProcedure="false">Variables!$C$38</definedName>
    <definedName function="false" hidden="false" name="DBH_Floor_No_Rigging" vbProcedure="false">Variables!$C$37</definedName>
    <definedName function="false" hidden="false" name="Dump_Trailer_CuYd" vbProcedure="false">Variables!$C$46</definedName>
    <definedName function="false" hidden="false" name="Free_Diameter" vbProcedure="false">Variables!$C$6</definedName>
    <definedName function="false" hidden="false" name="Leave_All_Discount_Max" vbProcedure="false">Variables!$C$31</definedName>
    <definedName function="false" hidden="false" name="Leave_All_Discount_Min" vbProcedure="false">Variables!$C$30</definedName>
    <definedName function="false" hidden="false" name="Leave_Full_Load_Discount" vbProcedure="false">Variables!$C$33</definedName>
    <definedName function="false" hidden="false" name="Leave_Half_Load_Discount" vbProcedure="false">Variables!$C$32</definedName>
    <definedName function="false" hidden="false" name="Limb_As_Tree_Threshold" vbProcedure="false">Variables!$C$20</definedName>
    <definedName function="false" hidden="false" name="Loader_Required_Minimum" vbProcedure="false">Variables!$C$42</definedName>
    <definedName function="false" hidden="false" name="Log_Stack_Packing_Factor" vbProcedure="false">Variables!$C$48</definedName>
    <definedName function="false" hidden="false" name="Log_Truck_CuYd" vbProcedure="false">Variables!$C$47</definedName>
    <definedName function="false" hidden="false" name="Log_Truck_Disposal_Cost" vbProcedure="false">Variables!$C$45</definedName>
    <definedName function="false" hidden="false" name="No_Small_Cleanup_Discount" vbProcedure="false">Variables!$C$34</definedName>
    <definedName function="false" hidden="false" name="No_Truck_Access_Multiplier" vbProcedure="false">Variables!$C$16</definedName>
    <definedName function="false" hidden="false" name="Over_High_Power_Multiplier" vbProcedure="false">Variables!$C$23</definedName>
    <definedName function="false" hidden="false" name="Over_House_Power_Multiplier" vbProcedure="false">Variables!$C$22</definedName>
    <definedName function="false" hidden="false" name="Over_Obstacle_Multiplier" vbProcedure="false">Variables!$C$21</definedName>
    <definedName function="false" hidden="false" name="Per_Log_Load_Minimum" vbProcedure="false">Variables!$C$44</definedName>
    <definedName function="false" hidden="false" name="Poison_Ivy_Multiplier" vbProcedure="false">Variables!$C$29</definedName>
    <definedName function="false" hidden="false" name="Primary_Stump_Minimum" vbProcedure="false">Variables!$C$5</definedName>
    <definedName function="false" hidden="false" name="Priority_Scheduling_Multiplier" vbProcedure="false">Variables!$C$15</definedName>
    <definedName function="false" hidden="false" name="Rate_Per_Inch" vbProcedure="false">Variables!$C$7</definedName>
    <definedName function="false" hidden="false" name="Rigging_Floor_Complex" vbProcedure="false">Variables!$C$36</definedName>
    <definedName function="false" hidden="false" name="Rigging_Floor_Moderate" vbProcedure="false">Variables!$C$35</definedName>
    <definedName function="false" hidden="false" name="Root_Flare_Margin" vbProcedure="false">Variables!$C$10</definedName>
    <definedName function="false" hidden="false" name="Single_Log_Load_Minimum" vbProcedure="false">Variables!$C$43</definedName>
    <definedName function="false" hidden="false" name="Spartan_Email" vbProcedure="false">Variables!$C$18</definedName>
    <definedName function="false" hidden="false" name="Takedown_Bottom_No_Rope" vbProcedure="false">Variables!$C$24</definedName>
    <definedName function="false" hidden="false" name="Takedown_Bottom_With_Rope" vbProcedure="false">Variables!$C$26</definedName>
    <definedName function="false" hidden="false" name="Takedown_Bottom_With_Wedge" vbProcedure="false">Variables!$C$25</definedName>
    <definedName function="false" hidden="false" name="Takedown_Over_24_DBH" vbProcedure="false">Variables!$C$28</definedName>
    <definedName function="false" hidden="false" name="Takedown_Through_Pulley" vbProcedure="false">Variables!$C$27</definedName>
    <definedName function="false" hidden="false" name="Tree_Removal_Floor_Per_Foot" vbProcedure="false">Variables!$C$19</definedName>
    <definedName function="false" hidden="false" name="Trim_1_Cut" vbProcedure="false">Variables!$C$49</definedName>
    <definedName function="false" hidden="false" name="Trim_2_Cuts_Close" vbProcedure="false">Variables!$C$50</definedName>
    <definedName function="false" hidden="false" name="Trim_30ft_Min" vbProcedure="false">Variables!$C$54</definedName>
    <definedName function="false" hidden="false" name="Trim_40ft_Min" vbProcedure="false">Variables!$C$55</definedName>
    <definedName function="false" hidden="false" name="Trim_Cut_Requiring_Rigging" vbProcedure="false">Variables!$C$51</definedName>
    <definedName function="false" hidden="false" name="Trim_Multi_Cut_High_Lifeline" vbProcedure="false">Variables!$C$53</definedName>
    <definedName function="false" hidden="false" name="Trim_Single_Cut_High_Lifeline" vbProcedure="false">Variables!$C$52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<sst xmlns="http://schemas.openxmlformats.org/spreadsheetml/2006/main" count="1415" uniqueCount="1143">
  <si>
    <t xml:space="preserve">Spartan Tree &amp; Landscape — Pricing Reference</t>
  </si>
  <si>
    <t xml:space="preserve">For use by office staff, crew leads, and AI pricing assistant</t>
  </si>
  <si>
    <t xml:space="preserve">Purpose</t>
  </si>
  <si>
    <t xml:space="preserve">This workbook is the single source of truth for how Spartan Tree &amp; Landscape prices work. It is structured so a custom AI assistant can read it and help workers price jobs consistently — on phone calls, during walkthroughs, or while building estimates in Jobber.</t>
  </si>
  <si>
    <t xml:space="preserve">Workbook Map</t>
  </si>
  <si>
    <t xml:space="preserve">Sheet Name</t>
  </si>
  <si>
    <t xml:space="preserve">What's on it</t>
  </si>
  <si>
    <t xml:space="preserve">README</t>
  </si>
  <si>
    <t xml:space="preserve">This sheet. Explains how to use the workbook.</t>
  </si>
  <si>
    <t xml:space="preserve">Rate Card</t>
  </si>
  <si>
    <t xml:space="preserve">The master price list. All line items, their units, and rates. Use this for everything except stump grinding (see Stump Grinding sheet).</t>
  </si>
  <si>
    <t xml:space="preserve">Variables</t>
  </si>
  <si>
    <t xml:space="preserve">Named values used inside formulas (like Primary_Stump_Minimum = $100). Change a value here and every formula updates.</t>
  </si>
  <si>
    <t xml:space="preserve">Stump Grinding</t>
  </si>
  <si>
    <t xml:space="preserve">Detailed stump grinding pricing logic, formulas in plain English with variable names, and a calculator for multi-stump jobs.</t>
  </si>
  <si>
    <t xml:space="preserve">Tree Removal Summary</t>
  </si>
  <si>
    <t xml:space="preserve">Quick summary of tree-removal floor concepts. The full detailed rules live in Tree Removal Detailed and Tree Trimming Detailed sheets.</t>
  </si>
  <si>
    <t xml:space="preserve">Takedowns</t>
  </si>
  <si>
    <t xml:space="preserve">Flat tiered pricing for cut-it-down-and-leave-it jobs. $100/$150/$200/$300 by method, $400 floor for &gt;24" DBH.</t>
  </si>
  <si>
    <t xml:space="preserve">Tree Removal Detailed</t>
  </si>
  <si>
    <t xml:space="preserve">All the floor rules for tree removal (height, DBH, rigging, codominant leads, loader required, log loads). Whichever floor is highest wins. Includes log volume estimator.</t>
  </si>
  <si>
    <t xml:space="preserve">Tree Trimming Detailed</t>
  </si>
  <si>
    <t xml:space="preserve">Trim minimums by number of cuts and working height. Major leads with an 8" or larger union diameter are priced as their own trees using Tree Removal rules.</t>
  </si>
  <si>
    <t xml:space="preserve">Job Multipliers</t>
  </si>
  <si>
    <t xml:space="preserve">Poison ivy (+50%), Leave-all (-25% to -75%), Leave logs (-$150/-$300), No small cleanup (-10%). Minimums always win after multipliers.</t>
  </si>
  <si>
    <t xml:space="preserve">Hazard Modifiers</t>
  </si>
  <si>
    <t xml:space="preserve">Surcharges for work over obstacles (2x), house power lines (2x), and high-voltage power lines (3x). Includes composition rules, identification guide, and safety reminders.</t>
  </si>
  <si>
    <t xml:space="preserve">Topsoil per Stump</t>
  </si>
  <si>
    <t xml:space="preserve">Worked Examples</t>
  </si>
  <si>
    <t xml:space="preserve">Glossary</t>
  </si>
  <si>
    <t xml:space="preserve">Instructions for AI Assistant</t>
  </si>
  <si>
    <t xml:space="preserve">1. When a worker asks 'how much for X?', first identify the line item on the Rate Card sheet. Apply the listed minimum and rate. State both clearly.</t>
  </si>
  <si>
    <t xml:space="preserve">2. For stump grinding, NEVER quote from memory. Always pull the formula from the Stump Grinding sheet. The largest stump on the job is the PRIMARY stump; all others are ADD-ON stumps and use a discounted rate.</t>
  </si>
  <si>
    <t xml:space="preserve">3. When multiple line items apply (e.g., a bucket truck job that also needs ground protection mats), apply the minimum unit count for EACH line item independently. Minimums are not waived just because the job is large.</t>
  </si>
  <si>
    <t xml:space="preserve">4. Read the Note column on the Rate Card carefully. Notes contain bundling rules and conditional logic (e.g., that Grinding Removal doubles if a truck cannot reach the stump, or that Crane work carries a 4-hour minimum due to setup and breakdown time).</t>
  </si>
  <si>
    <t xml:space="preserve">5. For topsoil-after-stump-grinding, use the Topsoil per Stump sheet — it's already accounted for in cubic feet, bag count, and cubic yards.</t>
  </si>
  <si>
    <t xml:space="preserve">6. If a row says 'ASK' for any value, the assistant should tell the worker to text or call Cameron at 585-501-6111 for that specific item.</t>
  </si>
  <si>
    <t xml:space="preserve">7. Priority Scheduling (25% of subtotal) is added on top of the final subtotal — it is NOT applied per line item.</t>
  </si>
  <si>
    <t xml:space="preserve">8. When uncertain, prefer overestimating cost slightly and recommending the worker confirm with Cameron before quoting. Underquoting is worse than asking.</t>
  </si>
  <si>
    <t xml:space="preserve">9. Always measure stump diameter as the AVERAGE DIAMETER OF THE ROOT FLARE at ground level — not the cut surface on top of the stump. The root flare is wider and is what actually has to be ground.</t>
  </si>
  <si>
    <t xml:space="preserve">10. Grinding Removal (haul-away of grindings) doubles in price if a truck cannot drive up to the stump. Ask about access before quoting.</t>
  </si>
  <si>
    <t xml:space="preserve">11. For TREE REMOVAL, build the price from hourly buildup (Bucket Truck + Climber + Ground Worker + Chip Truck + Logs). Then compare to the floor ($10 × tree height in feet). Quote the HIGHER of the two. The floor is a safety net, not the typical price.</t>
  </si>
  <si>
    <t xml:space="preserve">12. For TRIMMING jobs, check each lead/limb being removed. If any lead has a UNION DIAMETER of 8 inches or more, measure it union-to-tip and add $10 per foot of length to the hourly buildup. This is the Limb-as-Tree rule.</t>
  </si>
  <si>
    <t xml:space="preserve">13. Always ask the customer or estimator: 'What's the height of the tree?' and 'What's the diameter at chest height?' for removals. For trimming, ask 'Are any major leads being removed, and what's the diameter where they attach to the trunk?'</t>
  </si>
  <si>
    <t xml:space="preserve">14. For TREE REMOVAL and TRIMMING, ALWAYS ask: 'Is the tree (or the lead being removed) over the house, garage, or any other structure?' and 'Is it over power lines? If yes, are the lines going FROM the pole TO the building (house power, 2x) or running along the street between poles (high power, 3x)?'</t>
  </si>
  <si>
    <t xml:space="preserve">15. If a job qualifies for multiple hazard modifiers, take the HIGHEST modifier — never stack them. A tree over the house AND over high power lines is 3x, not 6x.</t>
  </si>
  <si>
    <t xml:space="preserve">16. Hazard modifiers apply to the WORK portion only: Bucket Truck hours, Climber hours, Ground Worker hours, Chip Truck hours, and any tree-removal or limb-as-tree floor charges. Modifiers do NOT apply to: Stump Grinding, Grinding Removal, Logs (haul-away), Topsoil &amp; Seed, materials, or trip charges.</t>
  </si>
  <si>
    <t xml:space="preserve">17. If a customer asks about work near HIGH POWER LINES (primary distribution, pole-to-pole), ask whether the utility will de-energize. If they will not, the work requires a line-clearance qualified arborist per ANSI Z133. If Spartan does not have an LCQ available, decline the job rather than reducing the multiplier to win it.</t>
  </si>
  <si>
    <t xml:space="preserve">18. For TAKEDOWNS (cut down, leave it), pick the ONE tier from the Takedowns sheet that matches the cutting method. If the tree is over 24" DBH, the $400 floor applies regardless of method (use the higher of the two prices).</t>
  </si>
  <si>
    <t xml:space="preserve">19. For TREE REMOVAL, use the Tree Removal Detailed sheet. There are MULTIPLE INDEPENDENT FLOOR RULES (height, DBH, rigging, codominant leads, loader, log loads). Calculate every floor that applies and quote the HIGHEST. These are NOT additive — they compete, and the largest wins. Compare to hourly buildup; use whichever is higher. Then apply hazard modifiers.</t>
  </si>
  <si>
    <t xml:space="preserve">20. For TREE TRIMMING, use the Tree Trimming Detailed sheet. Same logic — multiple competing floors (cut count, rigging, working height), take the HIGHEST. If a major lead with an 8" or larger union diameter is being removed, ADD its tree-removal price on top (this IS additive).</t>
  </si>
  <si>
    <t xml:space="preserve">21. The Limb-as-Tree threshold is 8 inches at the union. Any secondary or tertiary lead being removed during a trim where the union diameter is 8" or greater is priced as its own small tree using the Tree Removal Detailed rules (in ADDITION to the regular trim work). Leads under 8" are part of standard trim work and do not get separate tree pricing.</t>
  </si>
  <si>
    <t xml:space="preserve">22. MULTIPLIER ORDER for the whole job: (1) Build the base price — hourly buildup OR the highest applicable floor, whichever is greater. (2) HAZARD MODIFIERS apply to the WORK PORTION only (labor + equipment hours + any limb-as-tree or tree-removal floor charges). Take the single highest hazard tier — NEVER stack. Add non-work items (logs, stump grinding, topsoil, materials) at base price = SUBTOTAL. (3) JOB MULTIPLIERS apply to the subtotal: chain percentage multipliers (poison ivy × leave-all × no-small-cleanup), then subtract dollar discounts (leave-half-load −$150 each, leave-full-load −$300 each). (4) PRIORITY SCHEDULING (25%) is the LAST step, applied to the post-multiplier total if the customer is paying to jump the queue. MINIMUMS ARE INVIOLABLE: if any discount would push below a line-item minimum or job floor, the minimum wins.</t>
  </si>
  <si>
    <t xml:space="preserve">23. When estimating LOG LOAD COUNT to apply the $1,000 single-load minimum or $2,000-per-load minimum, use the cylinder formula: π × (DBH/24)² × log_height_ft / 27 = solid cubic yards. Multiply by 1.3 for stacked volume. Divide by 14 for dump trailer loads. The log volume calculator on the Tree Removal Detailed sheet does this for you.</t>
  </si>
  <si>
    <t xml:space="preserve">24. Codominant leads should each be visually inspected. 2 codominant leads = 2x base, 3+ leads = 3x base. A 70' triple-codominant ash that would normally be a $700 job becomes $1,400-$2,100.</t>
  </si>
  <si>
    <t xml:space="preserve">Master Rate Card</t>
  </si>
  <si>
    <t xml:space="preserve">Every line item Spartan bills for. Minimums are enforced per line item unless a Note specifies bundling. Rates are in US dollars unless otherwise noted.</t>
  </si>
  <si>
    <t xml:space="preserve">Item</t>
  </si>
  <si>
    <t xml:space="preserve">Minimum Units</t>
  </si>
  <si>
    <t xml:space="preserve">Unit</t>
  </si>
  <si>
    <t xml:space="preserve">Rate per Unit</t>
  </si>
  <si>
    <t xml:space="preserve">Calculation</t>
  </si>
  <si>
    <t xml:space="preserve">Notes</t>
  </si>
  <si>
    <t xml:space="preserve">Ground Worker</t>
  </si>
  <si>
    <t xml:space="preserve">Hour</t>
  </si>
  <si>
    <t xml:space="preserve">Hours_Worked × $125, with $125 minimum</t>
  </si>
  <si>
    <t xml:space="preserve">Per worker. Each additional ground worker on the same job bills independently.</t>
  </si>
  <si>
    <t xml:space="preserve">Equipment with Operator</t>
  </si>
  <si>
    <t xml:space="preserve">Hours_Used × $250, with $250 minimum</t>
  </si>
  <si>
    <t xml:space="preserve">Skid steer, mini-ex, telehandler, or similar with operator included.</t>
  </si>
  <si>
    <t xml:space="preserve">Bucket Truck with Operator</t>
  </si>
  <si>
    <t xml:space="preserve">Hours_Used × $250, with 2-hour minimum</t>
  </si>
  <si>
    <t xml:space="preserve">Operator included. Bills hourly with a 2-hour line-item minimum (does NOT cascade to other line items — each hourly line carries its own minimum).</t>
  </si>
  <si>
    <t xml:space="preserve">Climber</t>
  </si>
  <si>
    <t xml:space="preserve">Hours_Worked × $250, with $250 minimum</t>
  </si>
  <si>
    <t xml:space="preserve">ANSI Z133 certified climbing arborist.</t>
  </si>
  <si>
    <t xml:space="preserve">Ground Protection Mats</t>
  </si>
  <si>
    <t xml:space="preserve">Mat</t>
  </si>
  <si>
    <t xml:space="preserve">Mats_Used × $12.50, with 8-mat minimum</t>
  </si>
  <si>
    <t xml:space="preserve">Per mat per job. Pricing covers placement, use, and removal.</t>
  </si>
  <si>
    <t xml:space="preserve">45 Ton Crane with Operator</t>
  </si>
  <si>
    <t xml:space="preserve">Hours_Used × $500, with 4-hour minimum</t>
  </si>
  <si>
    <t xml:space="preserve">Operator included. Setup and breakdown time billable.</t>
  </si>
  <si>
    <t xml:space="preserve">Chip Truck with Operator</t>
  </si>
  <si>
    <t xml:space="preserve">Includes chipper. Operator included.</t>
  </si>
  <si>
    <t xml:space="preserve">Logs (Haul-Away)</t>
  </si>
  <si>
    <t xml:space="preserve">Load</t>
  </si>
  <si>
    <t xml:space="preserve">Loads_Hauled × $250</t>
  </si>
  <si>
    <t xml:space="preserve">Per truck load of removed logs hauled off site.</t>
  </si>
  <si>
    <t xml:space="preserve">Large Stump Grinding (Over 18")</t>
  </si>
  <si>
    <t xml:space="preserve">Hours_Used × $300, with $300 minimum</t>
  </si>
  <si>
    <t xml:space="preserve">Use this row INSTEAD of standard stump grinding formula when the stump exceeds 18" diameter AND requires more than standard grind time. For most 18"+ stumps the formula on the Stump Grinding sheet is correct; use this rate only if grind time exceeds 1 hour.</t>
  </si>
  <si>
    <t xml:space="preserve">Spider Lift</t>
  </si>
  <si>
    <t xml:space="preserve">Rental</t>
  </si>
  <si>
    <t xml:space="preserve">Rentals × $750</t>
  </si>
  <si>
    <t xml:space="preserve">Per rental period (typically per day). Includes delivery if within Rochester metro.</t>
  </si>
  <si>
    <t xml:space="preserve">Grapple Saw Truck</t>
  </si>
  <si>
    <t xml:space="preserve">Day</t>
  </si>
  <si>
    <t xml:space="preserve">Days_Used × $2,500</t>
  </si>
  <si>
    <t xml:space="preserve">Per day. Subcontracted equipment, day rate is firm.</t>
  </si>
  <si>
    <t xml:space="preserve">Topsoil (delivered, no install)</t>
  </si>
  <si>
    <t xml:space="preserve">Yard</t>
  </si>
  <si>
    <t xml:space="preserve">Yards × $450, with 3-yard minimum</t>
  </si>
  <si>
    <t xml:space="preserve">Bulk delivery only. Spread separately if needed.</t>
  </si>
  <si>
    <t xml:space="preserve">Topsoil and Seeding</t>
  </si>
  <si>
    <t xml:space="preserve">Yards × $500, with 3-yard minimum</t>
  </si>
  <si>
    <t xml:space="preserve">Delivered, spread, and seeded.</t>
  </si>
  <si>
    <t xml:space="preserve">Mulching</t>
  </si>
  <si>
    <t xml:space="preserve">Yards × $160, with 3-yard minimum</t>
  </si>
  <si>
    <t xml:space="preserve">Delivered and spread. Mulch type per customer selection.</t>
  </si>
  <si>
    <t xml:space="preserve">Edging &amp; Prep Work</t>
  </si>
  <si>
    <t xml:space="preserve">Yards × $90, with 3-yard minimum</t>
  </si>
  <si>
    <t xml:space="preserve">Per yard of bed worked. Quoted alongside mulching jobs.</t>
  </si>
  <si>
    <t xml:space="preserve">Priority Scheduling</t>
  </si>
  <si>
    <t xml:space="preserve">of subtotal</t>
  </si>
  <si>
    <t xml:space="preserve">N/A</t>
  </si>
  <si>
    <t xml:space="preserve">Subtotal × 0.25</t>
  </si>
  <si>
    <t xml:space="preserve">Applied AFTER all other line items are summed. Customer pays 25% extra to jump the queue.</t>
  </si>
  <si>
    <t xml:space="preserve">Forestry Mulching</t>
  </si>
  <si>
    <t xml:space="preserve">Hours_Used × $500, with 8-hour minimum</t>
  </si>
  <si>
    <t xml:space="preserve">Full day minimum due to equipment mobilization.</t>
  </si>
  <si>
    <t xml:space="preserve">Land Clearing — Light Ground Cover</t>
  </si>
  <si>
    <t xml:space="preserve">sqft</t>
  </si>
  <si>
    <t xml:space="preserve">Sqft × $1.00, with 250 sqft minimum</t>
  </si>
  <si>
    <t xml:space="preserve">Grass, low weeds, easy access.</t>
  </si>
  <si>
    <t xml:space="preserve">Land Clearing — Dense Ground Cover</t>
  </si>
  <si>
    <t xml:space="preserve">Sqft × $2.00, with 250 sqft minimum</t>
  </si>
  <si>
    <t xml:space="preserve">Heavy weeds, vines, matted vegetation.</t>
  </si>
  <si>
    <t xml:space="preserve">Land Clearing — Light Brush</t>
  </si>
  <si>
    <t xml:space="preserve">Sqft × $3.00, with 250 sqft minimum</t>
  </si>
  <si>
    <t xml:space="preserve">Saplings under 2" diameter, scattered brush.</t>
  </si>
  <si>
    <t xml:space="preserve">Land Clearing — Dense Brush</t>
  </si>
  <si>
    <t xml:space="preserve">Sqft × $4.00, with 250 sqft minimum</t>
  </si>
  <si>
    <t xml:space="preserve">Saplings 2"+ diameter, thick brush, light tree work.</t>
  </si>
  <si>
    <t xml:space="preserve">Powerwashing</t>
  </si>
  <si>
    <t xml:space="preserve">Sqft × $1.00, with 200 sqft minimum</t>
  </si>
  <si>
    <t xml:space="preserve">Surface dependent. Confirm surface type with Cameron for large jobs.</t>
  </si>
  <si>
    <t xml:space="preserve">Polymeric Sand</t>
  </si>
  <si>
    <t xml:space="preserve">Sqft × $6.00, with 30 sqft minimum</t>
  </si>
  <si>
    <t xml:space="preserve">For paver joint locking.</t>
  </si>
  <si>
    <t xml:space="preserve">Stone Install</t>
  </si>
  <si>
    <t xml:space="preserve">Decorative stone delivery and spreading.</t>
  </si>
  <si>
    <t xml:space="preserve">Planting (&lt; $1,000 total plant cost)</t>
  </si>
  <si>
    <t xml:space="preserve">3x</t>
  </si>
  <si>
    <t xml:space="preserve">Plant Cost</t>
  </si>
  <si>
    <t xml:space="preserve">Plant_Cost × 3</t>
  </si>
  <si>
    <t xml:space="preserve">When total plant cost is under $1,000, multiply by 3 for installed price.</t>
  </si>
  <si>
    <t xml:space="preserve">Planting ($1,000 — $2,000 plant cost)</t>
  </si>
  <si>
    <t xml:space="preserve">2.5x</t>
  </si>
  <si>
    <t xml:space="preserve">Plant_Cost × 2.5</t>
  </si>
  <si>
    <t xml:space="preserve">When total plant cost is $1,000–$2,000, multiply by 2.5.</t>
  </si>
  <si>
    <t xml:space="preserve">Planting (&gt; $2,000 plant cost)</t>
  </si>
  <si>
    <t xml:space="preserve">2x</t>
  </si>
  <si>
    <t xml:space="preserve">Plant_Cost × 2</t>
  </si>
  <si>
    <t xml:space="preserve">When total plant cost exceeds $2,000, multiply by 2.</t>
  </si>
  <si>
    <t xml:space="preserve">Yard Cleanup</t>
  </si>
  <si>
    <t xml:space="preserve">Hours_Worked × $95, with 2-hour minimum</t>
  </si>
  <si>
    <t xml:space="preserve">Leaf cleanup, debris pickup, light yard work.</t>
  </si>
  <si>
    <t xml:space="preserve">Gutter Cleaning</t>
  </si>
  <si>
    <t xml:space="preserve">ASK</t>
  </si>
  <si>
    <t xml:space="preserve">ASK Cameron</t>
  </si>
  <si>
    <t xml:space="preserve">Call 585-501-6111 for quote. Pricing varies by home size, height, and gutter guard presence.</t>
  </si>
  <si>
    <t xml:space="preserve">PHC — Cabling (EHS Static)</t>
  </si>
  <si>
    <t xml:space="preserve">Units × $300, with 2-unit minimum</t>
  </si>
  <si>
    <t xml:space="preserve">EHS static cabling system per ANSI A300 Part 3. Each cable run is one unit.</t>
  </si>
  <si>
    <t xml:space="preserve">PHC — COBRA System (Dynamic)</t>
  </si>
  <si>
    <t xml:space="preserve">Units × $400, with 2-unit minimum</t>
  </si>
  <si>
    <t xml:space="preserve">COBRA dynamic bracing system per ANSI A300 Part 3. Each support is one unit.</t>
  </si>
  <si>
    <t xml:space="preserve">Stump Grinding — Primary (largest stump)</t>
  </si>
  <si>
    <t xml:space="preserve">Stump</t>
  </si>
  <si>
    <t xml:space="preserve">See formula</t>
  </si>
  <si>
    <t xml:space="preserve">MAX($100, $100 + $11 × (Stump_Diameter − 12))</t>
  </si>
  <si>
    <t xml:space="preserve">ALWAYS use for the single largest stump on the job. Measure as average diameter of root flare at ground level, NOT the cut surface. See Stump Grinding sheet for full details.</t>
  </si>
  <si>
    <t xml:space="preserve">Stump Grinding — Add-on (each additional)</t>
  </si>
  <si>
    <t xml:space="preserve">MAX($25, $5 × Stump_Diameter)</t>
  </si>
  <si>
    <t xml:space="preserve">Use for every stump on the job AFTER the primary stump. Cheaper rate because mobilization is already paid for by the primary stump.</t>
  </si>
  <si>
    <t xml:space="preserve">Grinding Removal (haul grindings away)</t>
  </si>
  <si>
    <t xml:space="preserve">Job</t>
  </si>
  <si>
    <t xml:space="preserve">See note</t>
  </si>
  <si>
    <t xml:space="preserve">Equals total stump grinding price (doubles if no truck access)</t>
  </si>
  <si>
    <t xml:space="preserve">Equal to total grinding price. Doubles if a truck cannot drive up to the stump. If grindings are left on site, this line is $0.</t>
  </si>
  <si>
    <t xml:space="preserve">Topsoil &amp; Seed (per stump backfill)</t>
  </si>
  <si>
    <t xml:space="preserve">See sheet</t>
  </si>
  <si>
    <t xml:space="preserve">See Topsoil per Stump sheet</t>
  </si>
  <si>
    <t xml:space="preserve">Use the Topsoil per Stump sheet to compute bags or cubic yards needed per stump. Multiplies by Topsoil and Seeding rate.</t>
  </si>
  <si>
    <t xml:space="preserve">Tree Removal (minimum floor)</t>
  </si>
  <si>
    <t xml:space="preserve">10/ft</t>
  </si>
  <si>
    <t xml:space="preserve">Foot of tree height</t>
  </si>
  <si>
    <t xml:space="preserve">MAX(Tree_Removal_Floor_Per_Foot × Tree_Height_Ft, Hourly_Buildup)</t>
  </si>
  <si>
    <t xml:space="preserve">Tree removal is priced primarily by HOURLY BUILDUP (Bucket Truck + Climber + Ground Worker + Chip Truck + Logs). This $10/ft is a MINIMUM FLOOR — if the hourly buildup comes in below 10× the tree height in feet, charge the floor instead. Protects against undercharging on small/quick removals.</t>
  </si>
  <si>
    <t xml:space="preserve">Trimming — Large Lead as Tree</t>
  </si>
  <si>
    <t xml:space="preserve">Inches union diameter</t>
  </si>
  <si>
    <t xml:space="preserve">When lead union diameter ≥ 8", apply Tree_Removal_Floor_Per_Foot × Lead_Length_Ft</t>
  </si>
  <si>
    <t xml:space="preserve">During a trimming job, if a major lead is being removed and its diameter AT THE UNION (where it joins the trunk) is 8" or greater, treat that lead as its own small tree. Measure length UNION TO TIP. Apply $10/ft minimum floor. This is in ADDITION to the hourly buildup for the rest of the trimming work.</t>
  </si>
  <si>
    <t xml:space="preserve">Hazard Modifier — Over Obstacle</t>
  </si>
  <si>
    <t xml:space="preserve">Multiplier</t>
  </si>
  <si>
    <t xml:space="preserve">Work_Portion × 2.0 (when over house, garage, shed, fence, pool, driveway, vehicle, etc.)</t>
  </si>
  <si>
    <t xml:space="preserve">Applied to the WORK portion only (labor + equipment hours). NOT applied to stump grinding, haul-away, or materials. See Hazard Modifiers sheet for full rules and composition with other modifiers.</t>
  </si>
  <si>
    <t xml:space="preserve">Hazard Modifier — Over House Power Lines</t>
  </si>
  <si>
    <t xml:space="preserve">Work_Portion × 2.0 (when over the service drop from pole to building, ~240V)</t>
  </si>
  <si>
    <t xml:space="preserve">Service drop only — the line going from utility pole to the building. NOT for high-voltage primary distribution lines. Same multiplier as obstacles. See Hazard Modifiers sheet.</t>
  </si>
  <si>
    <t xml:space="preserve">Hazard Modifier — Over High Power Lines</t>
  </si>
  <si>
    <t xml:space="preserve">Work_Portion × 3.0 (when over primary distribution lines, 7.2kV+)</t>
  </si>
  <si>
    <t xml:space="preserve">Primary distribution lines on top of utility poles. REQUIRES line-clearance qualified workers per ANSI Z133, often utility coordination. If multiple modifiers apply, use only the HIGHEST — do not stack. See Hazard Modifiers sheet.</t>
  </si>
  <si>
    <t xml:space="preserve">Takedown — Bottom, no rope</t>
  </si>
  <si>
    <t xml:space="preserve">Tree</t>
  </si>
  <si>
    <t xml:space="preserve">$100 flat — Takedown_Bottom_No_Rope</t>
  </si>
  <si>
    <t xml:space="preserve">Cut tree down only, no removal/haul. Simple felling. See Takedowns sheet.</t>
  </si>
  <si>
    <t xml:space="preserve">Takedown — Bottom with wedge</t>
  </si>
  <si>
    <t xml:space="preserve">$150 flat — Takedown_Bottom_With_Wedge</t>
  </si>
  <si>
    <t xml:space="preserve">Wedge used to direct fall. See Takedowns sheet.</t>
  </si>
  <si>
    <t xml:space="preserve">Takedown — Bottom with rope</t>
  </si>
  <si>
    <t xml:space="preserve">$200 flat — Takedown_Bottom_With_Rope</t>
  </si>
  <si>
    <t xml:space="preserve">Pull rope used to direct fall. See Takedowns sheet.</t>
  </si>
  <si>
    <t xml:space="preserve">Takedown — Through pulley in woods</t>
  </si>
  <si>
    <t xml:space="preserve">$300 flat — Takedown_Through_Pulley</t>
  </si>
  <si>
    <t xml:space="preserve">Pulley/redirect to truck or winch. See Takedowns sheet.</t>
  </si>
  <si>
    <t xml:space="preserve">Takedown — Tree over 24" DBH</t>
  </si>
  <si>
    <t xml:space="preserve">$400 floor — Takedown_Over_24_DBH</t>
  </si>
  <si>
    <t xml:space="preserve">Any takedown of a tree over 24" DBH, regardless of method. Takes precedence over method-based tier if higher.</t>
  </si>
  <si>
    <t xml:space="preserve">Tree Removal — Height Floor (no rigging)</t>
  </si>
  <si>
    <t xml:space="preserve">$/ft</t>
  </si>
  <si>
    <t xml:space="preserve">$10/ft of tree height</t>
  </si>
  <si>
    <t xml:space="preserve">Floor. Compare to all other floors below and take HIGHEST. See Tree Removal Detailed sheet.</t>
  </si>
  <si>
    <t xml:space="preserve">Tree Removal — Height Floor (moderate rigging)</t>
  </si>
  <si>
    <t xml:space="preserve">$20/ft of tree height</t>
  </si>
  <si>
    <t xml:space="preserve">When moderate rigging required. Floor only — see Tree Removal Detailed.</t>
  </si>
  <si>
    <t xml:space="preserve">Tree Removal — Height Floor (complex rigging)</t>
  </si>
  <si>
    <t xml:space="preserve">$30/ft of tree height</t>
  </si>
  <si>
    <t xml:space="preserve">When complex rigging required (rope down every cut). Floor only — see Tree Removal Detailed.</t>
  </si>
  <si>
    <t xml:space="preserve">Tree Removal — DBH Floor (no rigging)</t>
  </si>
  <si>
    <t xml:space="preserve">$/inch DBH</t>
  </si>
  <si>
    <t xml:space="preserve">$50/inch DBH</t>
  </si>
  <si>
    <t xml:space="preserve">Floor by DBH for trees over 16" DBH. Compare to height floors. See Tree Removal Detailed.</t>
  </si>
  <si>
    <t xml:space="preserve">Tree Removal — DBH Floor (moderate rigging)</t>
  </si>
  <si>
    <t xml:space="preserve">$100/inch DBH</t>
  </si>
  <si>
    <t xml:space="preserve">$50 × 2.0 for moderate rigging. See Tree Removal Detailed.</t>
  </si>
  <si>
    <t xml:space="preserve">Tree Removal — DBH Floor (complex rigging)</t>
  </si>
  <si>
    <t xml:space="preserve">125-150</t>
  </si>
  <si>
    <t xml:space="preserve">$125-$150/inch DBH (workbook uses $137.50 midpoint)</t>
  </si>
  <si>
    <t xml:space="preserve">$50 × 2.5-3.0 for complex rigging. Adjust within range. See Tree Removal Detailed.</t>
  </si>
  <si>
    <t xml:space="preserve">Tree Removal — Codominant Lead Multiplier</t>
  </si>
  <si>
    <t xml:space="preserve">2-3x</t>
  </si>
  <si>
    <t xml:space="preserve">Single_Lead_Price × 2.0 to 3.0</t>
  </si>
  <si>
    <t xml:space="preserve">Trees with codominant leads treated as multiple trees. 2.0x for 2 leads, up to 3.0x for 3+ leads. See Tree Removal Detailed.</t>
  </si>
  <si>
    <t xml:space="preserve">Tree Removal — Loader Required Minimum</t>
  </si>
  <si>
    <t xml:space="preserve">$750 flat minimum</t>
  </si>
  <si>
    <t xml:space="preserve">Any tree large enough to require a loader. See Tree Removal Detailed.</t>
  </si>
  <si>
    <t xml:space="preserve">Tree Removal — One Log Load Minimum</t>
  </si>
  <si>
    <t xml:space="preserve">$1,000 flat minimum</t>
  </si>
  <si>
    <t xml:space="preserve">Any tree producing one load of logs to haul. See Tree Removal Detailed.</t>
  </si>
  <si>
    <t xml:space="preserve">Tree Removal — Per-Load Minimum (multiple loads)</t>
  </si>
  <si>
    <t xml:space="preserve">Log Load</t>
  </si>
  <si>
    <t xml:space="preserve">$2,000 minimum per log load</t>
  </si>
  <si>
    <t xml:space="preserve">Multi-load trees price at $2,000 per load minimum. See Tree Removal Detailed.</t>
  </si>
  <si>
    <t xml:space="preserve">Tree Removal — Log Truck Disposal</t>
  </si>
  <si>
    <t xml:space="preserve">60-yd Load</t>
  </si>
  <si>
    <t xml:space="preserve">$500 per 60-yard log truck load</t>
  </si>
  <si>
    <t xml:space="preserve">Used when &gt;2 loads of logs. See Tree Removal Detailed.</t>
  </si>
  <si>
    <t xml:space="preserve">Tree Trimming — 1 Cut Minimum</t>
  </si>
  <si>
    <t xml:space="preserve">$100 flat — Trim_1_Cut</t>
  </si>
  <si>
    <t xml:space="preserve">Single trimming cut, no rigging. See Tree Trimming Detailed.</t>
  </si>
  <si>
    <t xml:space="preserve">Tree Trimming — 2 Cuts Close Minimum</t>
  </si>
  <si>
    <t xml:space="preserve">$150 flat — Trim_2_Cuts_Close</t>
  </si>
  <si>
    <t xml:space="preserve">Two cuts in proximity. See Tree Trimming Detailed.</t>
  </si>
  <si>
    <t xml:space="preserve">Tree Trimming — Cut Requiring Rigging</t>
  </si>
  <si>
    <t xml:space="preserve">$200 floor — Trim_Cut_Requiring_Rigging</t>
  </si>
  <si>
    <t xml:space="preserve">Any cut requiring rigging. See Tree Trimming Detailed.</t>
  </si>
  <si>
    <t xml:space="preserve">Tree Trimming — Single Cut High Lifeline</t>
  </si>
  <si>
    <t xml:space="preserve">$200 floor — Trim_Single_Cut_High_Lifeline</t>
  </si>
  <si>
    <t xml:space="preserve">Cut requiring higher lifeline set first. See Tree Trimming Detailed.</t>
  </si>
  <si>
    <t xml:space="preserve">Tree Trimming — Multiple Cuts High Lifeline</t>
  </si>
  <si>
    <t xml:space="preserve">$300 floor — Trim_Multi_Cut_High_Lifeline</t>
  </si>
  <si>
    <t xml:space="preserve">Multiple cuts requiring higher lifeline set. See Tree Trimming Detailed.</t>
  </si>
  <si>
    <t xml:space="preserve">Tree Trimming — 30ft Working Height Min</t>
  </si>
  <si>
    <t xml:space="preserve">$300 floor — Trim_30ft_Min</t>
  </si>
  <si>
    <t xml:space="preserve">Trimming at 30 ft or higher. See Tree Trimming Detailed.</t>
  </si>
  <si>
    <t xml:space="preserve">Tree Trimming — 40ft Working Height Min</t>
  </si>
  <si>
    <t xml:space="preserve">$400 floor — Trim_40ft_Min</t>
  </si>
  <si>
    <t xml:space="preserve">Trimming at 40 ft or higher. See Tree Trimming Detailed.</t>
  </si>
  <si>
    <t xml:space="preserve">Job Multiplier — Poison Ivy</t>
  </si>
  <si>
    <t xml:space="preserve">1.5x</t>
  </si>
  <si>
    <t xml:space="preserve">Subtotal × 1.5</t>
  </si>
  <si>
    <t xml:space="preserve">50% surcharge when poison ivy is present. See Job Multipliers sheet.</t>
  </si>
  <si>
    <t xml:space="preserve">Job Multiplier — Leave All</t>
  </si>
  <si>
    <t xml:space="preserve">0.25-0.75 off</t>
  </si>
  <si>
    <t xml:space="preserve">Discount</t>
  </si>
  <si>
    <t xml:space="preserve">Subtotal × (1 - 0.25 to 0.75)</t>
  </si>
  <si>
    <t xml:space="preserve">25-75% discount when customer leaves materials on site. Range based on how much is left. Min floors still apply. See Job Multipliers sheet.</t>
  </si>
  <si>
    <t xml:space="preserve">Job Multiplier — Leave Half Load of Logs</t>
  </si>
  <si>
    <t xml:space="preserve">Per Half Load</t>
  </si>
  <si>
    <t xml:space="preserve">Subtotal − $150 per half load left</t>
  </si>
  <si>
    <t xml:space="preserve">Per half load left. Stacks with full-load discounts. See Job Multipliers sheet.</t>
  </si>
  <si>
    <t xml:space="preserve">Job Multiplier — Leave Full Load of Logs</t>
  </si>
  <si>
    <t xml:space="preserve">Per Full Load</t>
  </si>
  <si>
    <t xml:space="preserve">Subtotal − $300 per full load left</t>
  </si>
  <si>
    <t xml:space="preserve">Per full load left. See Job Multipliers sheet.</t>
  </si>
  <si>
    <t xml:space="preserve">Job Multiplier — No Small Cleanup</t>
  </si>
  <si>
    <t xml:space="preserve">0.10 off</t>
  </si>
  <si>
    <t xml:space="preserve">Subtotal × 0.90 (10% off)</t>
  </si>
  <si>
    <t xml:space="preserve">Customer agrees no debris under 1" diameter is removed. Mostly applies to trim jobs. See Job Multipliers sheet.</t>
  </si>
  <si>
    <t xml:space="preserve">Variables Used in Pricing Formulas</t>
  </si>
  <si>
    <t xml:space="preserve">Every formula in this workbook references a named variable defined here. Change a value in column C and every formula automatically uses the new value.</t>
  </si>
  <si>
    <t xml:space="preserve">Variable Name</t>
  </si>
  <si>
    <t xml:space="preserve">Category</t>
  </si>
  <si>
    <t xml:space="preserve">Value</t>
  </si>
  <si>
    <t xml:space="preserve">What it means</t>
  </si>
  <si>
    <t xml:space="preserve">Primary_Stump_Minimum</t>
  </si>
  <si>
    <t xml:space="preserve">Floor price in dollars for the first (largest) stump on a job. Covers mobilization, setup, and minimum grind time.</t>
  </si>
  <si>
    <t xml:space="preserve">Free_Diameter</t>
  </si>
  <si>
    <t xml:space="preserve">Diameter in inches included in the primary stump minimum. No extra charge for the first 12" of diameter.</t>
  </si>
  <si>
    <t xml:space="preserve">Rate_Per_Inch</t>
  </si>
  <si>
    <t xml:space="preserve">Dollars per inch of diameter ABOVE the Free_Diameter on the primary stump.</t>
  </si>
  <si>
    <t xml:space="preserve">Addon_Stump_Minimum</t>
  </si>
  <si>
    <t xml:space="preserve">Floor price in dollars for each additional stump on the same job after the primary stump.</t>
  </si>
  <si>
    <t xml:space="preserve">Addon_Rate_Per_Inch</t>
  </si>
  <si>
    <t xml:space="preserve">Dollars per inch of diameter for additional stumps. Roughly half the primary rate because mobilization is already covered.</t>
  </si>
  <si>
    <t xml:space="preserve">Root_Flare_Margin</t>
  </si>
  <si>
    <t xml:space="preserve">Topsoil</t>
  </si>
  <si>
    <t xml:space="preserve">Inches added to stump diameter to estimate hole diameter. Accounts for root flare and over-grind margin (6 inches on each side).</t>
  </si>
  <si>
    <t xml:space="preserve">Backfill_Depth_Cap</t>
  </si>
  <si>
    <t xml:space="preserve">Inches of topsoil applied when grindings are left in place (a topsoil cap on top of the grindings).</t>
  </si>
  <si>
    <t xml:space="preserve">Backfill_Depth_Full</t>
  </si>
  <si>
    <t xml:space="preserve">Inches of topsoil applied when grindings are hauled away and the full grind hole is backfilled to grade.</t>
  </si>
  <si>
    <t xml:space="preserve">CuFt_Per_Bag</t>
  </si>
  <si>
    <t xml:space="preserve">Cubic feet of topsoil per 40-lb bag (Home Depot / Lowe's standard).</t>
  </si>
  <si>
    <t xml:space="preserve">CuFt_Per_CuYd</t>
  </si>
  <si>
    <t xml:space="preserve">Cubic feet in one cubic yard. Used to convert volume for bulk delivery decisions.</t>
  </si>
  <si>
    <t xml:space="preserve">Priority_Scheduling_Multiplier</t>
  </si>
  <si>
    <t xml:space="preserve">Modifiers</t>
  </si>
  <si>
    <t xml:space="preserve">Percentage added to the final subtotal when a customer pays to jump the queue.</t>
  </si>
  <si>
    <t xml:space="preserve">No_Truck_Access_Multiplier</t>
  </si>
  <si>
    <t xml:space="preserve">Multiplier applied to the Grinding Removal line when a truck cannot reach the stump.</t>
  </si>
  <si>
    <t xml:space="preserve">Cameron_Phone</t>
  </si>
  <si>
    <t xml:space="preserve">Contact</t>
  </si>
  <si>
    <t xml:space="preserve">585-501-6111</t>
  </si>
  <si>
    <t xml:space="preserve">Cameron Miller's direct line for ASK items and edge cases.</t>
  </si>
  <si>
    <t xml:space="preserve">Spartan_Email</t>
  </si>
  <si>
    <t xml:space="preserve">cameron@spartantreeny.com</t>
  </si>
  <si>
    <t xml:space="preserve">Spartan Tree &amp; Landscape's primary contact email.</t>
  </si>
  <si>
    <t xml:space="preserve">Tree_Removal_Floor_Per_Foot</t>
  </si>
  <si>
    <t xml:space="preserve">Tree Removal</t>
  </si>
  <si>
    <t xml:space="preserve">Dollars per foot of tree height. Minimum floor for any tree removal — actual price comes from hourly buildup of equipment, labor, and haul-away. This floor protects against undercharging on small or quick removals.</t>
  </si>
  <si>
    <t xml:space="preserve">Limb_As_Tree_Threshold</t>
  </si>
  <si>
    <t xml:space="preserve">Tree Trimming</t>
  </si>
  <si>
    <t xml:space="preserve">Diameter in inches at the union (where the limb joins the trunk). If a lead/limb being removed has a union diameter at or above this threshold, treat it as its own tree and apply tree pricing rules (the $10/ft floor and other rules from Tree Removal). Leads with an 8"+ union diameter are essentially small trees growing off another tree — same climbing, rigging, chunking, and hauling effort as a small standalone removal.</t>
  </si>
  <si>
    <t xml:space="preserve">Over_Obstacle_Multiplier</t>
  </si>
  <si>
    <t xml:space="preserve">Multiplier applied when tree work occurs OVER an obstacle (house, garage, shed, fence, pool, driveway, parked vehicles, hardscape). Doubles the cost of the work portion of the job. Reflects added rigging time, risk, and slower controlled-descent technique required.</t>
  </si>
  <si>
    <t xml:space="preserve">Over_House_Power_Multiplier</t>
  </si>
  <si>
    <t xml:space="preserve">Multiplier applied when tree work occurs OVER the SERVICE DROP — the lower-voltage power line from the utility pole to the building (typically ~240V). Same multiplier as obstacles because the line can be tagged/insulated and risk is comparable. Does NOT apply to primary distribution lines.</t>
  </si>
  <si>
    <t xml:space="preserve">Over_High_Power_Multiplier</t>
  </si>
  <si>
    <t xml:space="preserve">Multiplier applied when tree work occurs OVER PRIMARY DISTRIBUTION power lines (utility lines running pole-to-pole along the street, typically 7.2kV+ three-phase). Triples the cost of the work portion. Reflects line-clearance certification requirements (ANSI Z133), utility coordination, contact-with-line risk to crew, and often de-energization scheduling.</t>
  </si>
  <si>
    <t xml:space="preserve">Takedown_Bottom_No_Rope</t>
  </si>
  <si>
    <t xml:space="preserve">Takedown</t>
  </si>
  <si>
    <t xml:space="preserve">Flat price for cutting down a tree from the bottom with no rope, no wedge. Just felling. Tree is left on the ground.</t>
  </si>
  <si>
    <t xml:space="preserve">Takedown_Bottom_With_Wedge</t>
  </si>
  <si>
    <t xml:space="preserve">Flat price for a takedown using a wedge to direct the fall. Tree left on ground.</t>
  </si>
  <si>
    <t xml:space="preserve">Takedown_Bottom_With_Rope</t>
  </si>
  <si>
    <t xml:space="preserve">Flat price for a takedown using a pull rope to direct the fall. Tree left on ground.</t>
  </si>
  <si>
    <t xml:space="preserve">Takedown_Through_Pulley</t>
  </si>
  <si>
    <t xml:space="preserve">Flat price for a takedown using a pulley or redirect in the woods — usually pulled by truck or winch. Tree left on ground.</t>
  </si>
  <si>
    <t xml:space="preserve">Takedown_Over_24_DBH</t>
  </si>
  <si>
    <t xml:space="preserve">Flat price floor for any takedown of a tree over 24" DBH, regardless of method. Reflects the technical skill required for large-diameter felling. Takes precedence over other takedown prices for trees this size.</t>
  </si>
  <si>
    <t xml:space="preserve">Poison_Ivy_Multiplier</t>
  </si>
  <si>
    <t xml:space="preserve">Applied when poison ivy is present on the tree or in the work zone. Adds 50% to the job price (multiplier of 1.5). Reflects added PPE, slower work, post-job decontamination, and worker exposure.</t>
  </si>
  <si>
    <t xml:space="preserve">Leave_All_Discount_Min</t>
  </si>
  <si>
    <t xml:space="preserve">MINIMUM discount when customer agrees to 'leave all' (no cleanup, no haul). 25% off. Use this end of the range when only a small portion of normal cleanup is being skipped (e.g., leaving small wood).</t>
  </si>
  <si>
    <t xml:space="preserve">Leave_All_Discount_Max</t>
  </si>
  <si>
    <t xml:space="preserve">MAXIMUM discount when customer agrees to 'leave all' (no cleanup, no haul). 75% off. Use this end of the range when everything is being left (no chipping, no log hauling, customer takes all material).</t>
  </si>
  <si>
    <t xml:space="preserve">Leave_Half_Load_Discount</t>
  </si>
  <si>
    <t xml:space="preserve">Dollar discount per HALF LOAD of logs left on site (saves Spartan haul/disposal). $150 off per half load.</t>
  </si>
  <si>
    <t xml:space="preserve">Leave_Full_Load_Discount</t>
  </si>
  <si>
    <t xml:space="preserve">Dollar discount per FULL LOAD of logs left on site. $300 off per full load.</t>
  </si>
  <si>
    <t xml:space="preserve">No_Small_Cleanup_Discount</t>
  </si>
  <si>
    <t xml:space="preserve">Discount applied when customer agrees to no small-debris cleanup (nothing under 1" diameter removed). 10% off the cleanup-affected portion of the job. Mostly applies to trimming jobs where the small twiggy debris would be a labor sink to gather.</t>
  </si>
  <si>
    <t xml:space="preserve">Rigging_Floor_Moderate</t>
  </si>
  <si>
    <t xml:space="preserve">Tree Removal Floors</t>
  </si>
  <si>
    <t xml:space="preserve">Floor in dollars per foot of tree height when MODERATE rigging is required. A 40' tree with moderate rigging needs $20 × 40 = $800 minimum.</t>
  </si>
  <si>
    <t xml:space="preserve">Rigging_Floor_Complex</t>
  </si>
  <si>
    <t xml:space="preserve">Floor in dollars per foot of tree height when COMPLEX rigging is required (tight spot, rope down every cut, very confined drop zone). A 50' maple in a tight spot: $30 × 50 = $1,500 minimum.</t>
  </si>
  <si>
    <t xml:space="preserve">DBH_Floor_No_Rigging</t>
  </si>
  <si>
    <t xml:space="preserve">Floor in dollars per inch of DBH (Diameter at Breast Height) for tree removals without rigging. A 12" DBH ash without rigging: $50 × 12 = $600 minimum. Applies primarily to trees over 16" DBH.</t>
  </si>
  <si>
    <t xml:space="preserve">DBH_Floor_Moderate_Rigging</t>
  </si>
  <si>
    <t xml:space="preserve">Floor in dollars per inch of DBH with moderate rigging. Equal to DBH_Floor_No_Rigging × 2. A 12" DBH ash: $100 × 12 = $1,200.</t>
  </si>
  <si>
    <t xml:space="preserve">DBH_Floor_Complex_Rigging</t>
  </si>
  <si>
    <t xml:space="preserve">Floor in dollars per inch of DBH with complex rigging. Use midpoint of 2.5x-3x range (= 2.75x of $50). A 12" DBH ash with complex rigging: ~$1,650. Estimator can adjust within $125-$150/inch range based on actual complexity.</t>
  </si>
  <si>
    <t xml:space="preserve">Codominant_Lead_Multiplier_Min</t>
  </si>
  <si>
    <t xml:space="preserve">MINIMUM multiplier when a tree has codominant leads. The base single-lead price gets multiplied by 2.0 at minimum. Use this for 2 codominant leads or relatively simple codominant work.</t>
  </si>
  <si>
    <t xml:space="preserve">Codominant_Lead_Multiplier_Max</t>
  </si>
  <si>
    <t xml:space="preserve">MAXIMUM multiplier when a tree has codominant leads. Use 3.0 for 3+ codominant leads or particularly complex codominant work where each lead requires near-full-tree effort.</t>
  </si>
  <si>
    <t xml:space="preserve">Loader_Required_Minimum</t>
  </si>
  <si>
    <t xml:space="preserve">Flat minimum price in dollars for any tree large enough to require a loader/skid steer to move logs. If a loader has to come out, the job is at least $750.</t>
  </si>
  <si>
    <t xml:space="preserve">Single_Log_Load_Minimum</t>
  </si>
  <si>
    <t xml:space="preserve">Flat minimum price in dollars for any tree that produces enough wood to require a full load of logs to be hauled. If we're hauling a load of logs, the job is at least $1,000.</t>
  </si>
  <si>
    <t xml:space="preserve">Per_Log_Load_Minimum</t>
  </si>
  <si>
    <t xml:space="preserve">Floor in dollars PER LOG LOAD when a tree produces multiple loads of logs. Each load = $2,000 minimum. A 3-load tree = $6,000 minimum from this rule alone.</t>
  </si>
  <si>
    <t xml:space="preserve">Log_Truck_Disposal_Cost</t>
  </si>
  <si>
    <t xml:space="preserve">Cost in dollars per 60-cubic-yard load when using log truck disposal. Used any time there is more than 2 loads of logs.</t>
  </si>
  <si>
    <t xml:space="preserve">Dump_Trailer_CuYd</t>
  </si>
  <si>
    <t xml:space="preserve">Log Volume Calc</t>
  </si>
  <si>
    <t xml:space="preserve">Capacity of Spartan's dump trailer in cubic yards. Used to estimate how many trips a tree's log volume will require.</t>
  </si>
  <si>
    <t xml:space="preserve">Log_Truck_CuYd</t>
  </si>
  <si>
    <t xml:space="preserve">Capacity of a log truck in cubic yards. Used for disposal calculation.</t>
  </si>
  <si>
    <t xml:space="preserve">Log_Stack_Packing_Factor</t>
  </si>
  <si>
    <t xml:space="preserve">Multiplier to convert solid wood volume (from cylinder formula) into the actual stacked volume after cutting. Logs are funny-shaped and don't pack like liquid — multiply solid volume by 1.3 to get stacked volume.</t>
  </si>
  <si>
    <t xml:space="preserve">Trim_1_Cut</t>
  </si>
  <si>
    <t xml:space="preserve">Trimming</t>
  </si>
  <si>
    <t xml:space="preserve">Minimum price for a single cut on a trimming job.</t>
  </si>
  <si>
    <t xml:space="preserve">Trim_2_Cuts_Close</t>
  </si>
  <si>
    <t xml:space="preserve">Minimum price for two cuts close to each other.</t>
  </si>
  <si>
    <t xml:space="preserve">Trim_Cut_Requiring_Rigging</t>
  </si>
  <si>
    <t xml:space="preserve">Minimum price when ANY cut requires rigging (rope-down, controlled descent).</t>
  </si>
  <si>
    <t xml:space="preserve">Trim_Single_Cut_High_Lifeline</t>
  </si>
  <si>
    <t xml:space="preserve">Minimum when a single cut requires the climber to set a higher lifeline before climbing out to it. Reflects the rigging time before the actual cut.</t>
  </si>
  <si>
    <t xml:space="preserve">Trim_Multi_Cut_High_Lifeline</t>
  </si>
  <si>
    <t xml:space="preserve">Minimum when multiple cuts require the climber to set a higher lifeline. Reflects the additional setup and complexity.</t>
  </si>
  <si>
    <t xml:space="preserve">Trim_30ft_Min</t>
  </si>
  <si>
    <t xml:space="preserve">Minimum price for any trimming work at or above 30 feet working height.</t>
  </si>
  <si>
    <t xml:space="preserve">Trim_40ft_Min</t>
  </si>
  <si>
    <t xml:space="preserve">Minimum price for any trimming work at or above 40 feet working height. Applies to smaller trimming work — major lead removals are priced as trees instead (see Limb_As_Tree_Threshold).</t>
  </si>
  <si>
    <t xml:space="preserve">Stump Grinding — Pricing Logic &amp; Calculator</t>
  </si>
  <si>
    <t xml:space="preserve">Stump grinding uses a TWO-TIER pricing model: the largest stump on a job is the PRIMARY stump and carries the full mobilization charge; every additional stump is an ADD-ON priced at a discounted rate because we're already on site.</t>
  </si>
  <si>
    <t xml:space="preserve">1. The Formula (Plain English)</t>
  </si>
  <si>
    <t xml:space="preserve">Measurement</t>
  </si>
  <si>
    <t xml:space="preserve">Measure stump diameter as the AVERAGE DIAMETER OF THE ROOT FLARE at ground level — NOT the cut surface on top of the stump. The root flare is what actually needs to be ground.</t>
  </si>
  <si>
    <t xml:space="preserve">Primary Stump Price</t>
  </si>
  <si>
    <t xml:space="preserve">MAX( Primary_Stump_Minimum, Primary_Stump_Minimum + Rate_Per_Inch × (Stump_Diameter − Free_Diameter) )</t>
  </si>
  <si>
    <t xml:space="preserve">In English</t>
  </si>
  <si>
    <t xml:space="preserve">$100 minimum. For every inch of diameter above 12", add $11.</t>
  </si>
  <si>
    <t xml:space="preserve">Add-on Stump Price</t>
  </si>
  <si>
    <t xml:space="preserve">MAX( Addon_Stump_Minimum, Addon_Rate_Per_Inch × Stump_Diameter )</t>
  </si>
  <si>
    <t xml:space="preserve">$25 minimum. Otherwise $5 per inch of diameter.</t>
  </si>
  <si>
    <t xml:space="preserve">Job Total</t>
  </si>
  <si>
    <t xml:space="preserve">Primary_Stump_Price + SUM(All_Addon_Stump_Prices) + (Grinding_Removal if requested) + (Topsoil &amp; Seed if requested)</t>
  </si>
  <si>
    <t xml:space="preserve">2. Why This Works</t>
  </si>
  <si>
    <t xml:space="preserve">The primary rate is roughly linear at $11 per inch of diameter — a clean straight-line fit to the published price ladder ($100 for 12", $150 for 18", $225 for 2 ft, $350 for 3 ft, $500 for 4 ft, $650 for 5 ft). The fit is R² = 0.998 — essentially perfect.</t>
  </si>
  <si>
    <t xml:space="preserve">The add-on rate is about HALF the primary rate ($5/inch vs $11/inch) because when we're already on site, the marginal cost of grinding another stump is just the grind time — no mobilization, no setup, no separate trip.</t>
  </si>
  <si>
    <t xml:space="preserve">The $100 floor on the primary stump protects against mobilization loss on tiny single-stump jobs. The $25 floor on add-ons protects against the time cost of repositioning the grinder for very small extra stumps.</t>
  </si>
  <si>
    <t xml:space="preserve">If a customer has 5 small stumps (e.g., 14", 10", 8", 6", 5"), the bundled job total is around $262 — roughly half of what 5 separate trip charges ($522) would be. That's the right "we're already here" discount.</t>
  </si>
  <si>
    <t xml:space="preserve">3. Quick Reference — Standalone Pricing by Diameter</t>
  </si>
  <si>
    <t xml:space="preserve">Diameter (in)</t>
  </si>
  <si>
    <t xml:space="preserve">Diameter (ft)</t>
  </si>
  <si>
    <t xml:space="preserve">Primary Price</t>
  </si>
  <si>
    <t xml:space="preserve">Add-on Price</t>
  </si>
  <si>
    <t xml:space="preserve">Hole Diameter (in)</t>
  </si>
  <si>
    <t xml:space="preserve">Topsoil Bags (cap)</t>
  </si>
  <si>
    <t xml:space="preserve">Topsoil Bags (full)</t>
  </si>
  <si>
    <t xml:space="preserve">4. Multi-Stump Job Calculator</t>
  </si>
  <si>
    <t xml:space="preserve">Enter stump diameters in column A (one per row). The sheet will identify the largest as the PRIMARY stump and price the rest as ADD-ONs. Leave unused rows blank.</t>
  </si>
  <si>
    <t xml:space="preserve">Stump # / Diameter (in)</t>
  </si>
  <si>
    <t xml:space="preserve">Role</t>
  </si>
  <si>
    <t xml:space="preserve">Price</t>
  </si>
  <si>
    <t xml:space="preserve">TOTAL</t>
  </si>
  <si>
    <t xml:space="preserve">Tree Removal Summary — Quick Overview</t>
  </si>
  <si>
    <t xml:space="preserve">BRIEF SUMMARY only. For the FULL pricing rules, use the Tree Removal Detailed and Tree Trimming Detailed sheets. This sheet preserves the simpler concepts ($10/ft for tree removal, 8" union diameter for limb-as-tree) as a quick reference.</t>
  </si>
  <si>
    <t xml:space="preserve">1. The Tree Removal Floor Rule</t>
  </si>
  <si>
    <t xml:space="preserve">Rule</t>
  </si>
  <si>
    <t xml:space="preserve">Tree_Removal_Price ≥ Tree_Removal_Floor_Per_Foot × Tree_Height_Ft</t>
  </si>
  <si>
    <t xml:space="preserve">Tree removal must be at least $10 per foot of tree height. A 40-foot tree has a $400 minimum. A 75-foot tree has a $750 minimum.</t>
  </si>
  <si>
    <t xml:space="preserve">What this is NOT</t>
  </si>
  <si>
    <t xml:space="preserve">This is NOT the actual price for most tree removals. Real removal pricing comes from the hourly buildup of Bucket Truck, Climber, Ground Workers, Chip Truck, and Log hauling — almost always exceeding the floor.</t>
  </si>
  <si>
    <t xml:space="preserve">What this IS</t>
  </si>
  <si>
    <t xml:space="preserve">A safety net. If you're about to quote a 50-foot tree removal at $200, the floor catches it: minimum should be $500. The floor flags suspiciously low quotes and sets a baseline expectation for customers asking 'just how cheap can this be?'</t>
  </si>
  <si>
    <t xml:space="preserve">How to apply</t>
  </si>
  <si>
    <t xml:space="preserve">Calculate hourly buildup normally. Compare to height × $10. Quote the higher of the two. In nearly all cases the hourly buildup wins; the floor is a sanity check.</t>
  </si>
  <si>
    <t xml:space="preserve">2. Floor Quick Reference — Minimums by Tree Height</t>
  </si>
  <si>
    <t xml:space="preserve">Tree Height (ft)</t>
  </si>
  <si>
    <t xml:space="preserve">Floor Minimum</t>
  </si>
  <si>
    <t xml:space="preserve">Typical Realistic Range</t>
  </si>
  <si>
    <t xml:space="preserve">$200 - $400</t>
  </si>
  <si>
    <t xml:space="preserve">Sapling or small ornamental</t>
  </si>
  <si>
    <t xml:space="preserve">$300 - $600</t>
  </si>
  <si>
    <t xml:space="preserve">Small tree, often climber-only</t>
  </si>
  <si>
    <t xml:space="preserve">$400 - $900</t>
  </si>
  <si>
    <t xml:space="preserve">Below bucket-reach typically</t>
  </si>
  <si>
    <t xml:space="preserve">$500 - $1,200</t>
  </si>
  <si>
    <t xml:space="preserve">Bucket reachable, easy</t>
  </si>
  <si>
    <t xml:space="preserve">$700 - $1,800</t>
  </si>
  <si>
    <t xml:space="preserve">Standard residential</t>
  </si>
  <si>
    <t xml:space="preserve">$1,000 - $2,500</t>
  </si>
  <si>
    <t xml:space="preserve">Standard residential, mid-size</t>
  </si>
  <si>
    <t xml:space="preserve">$1,400 - $3,500</t>
  </si>
  <si>
    <t xml:space="preserve">Large residential, often climber</t>
  </si>
  <si>
    <t xml:space="preserve">$2,000 - $5,000</t>
  </si>
  <si>
    <t xml:space="preserve">Large tree, may need crane</t>
  </si>
  <si>
    <t xml:space="preserve">$2,800 - $7,500</t>
  </si>
  <si>
    <t xml:space="preserve">Very large, crane often warranted</t>
  </si>
  <si>
    <t xml:space="preserve">$4,500 - $12,000+</t>
  </si>
  <si>
    <t xml:space="preserve">Crane or specialty rigging required</t>
  </si>
  <si>
    <t xml:space="preserve">3. The Limb-as-Tree Rule (Trimming Jobs)</t>
  </si>
  <si>
    <t xml:space="preserve">If a lead/limb being removed has a union diameter ≥ Limb_As_Tree_Threshold (8"), treat that lead as its own tree.</t>
  </si>
  <si>
    <t xml:space="preserve">Measurement — Length</t>
  </si>
  <si>
    <t xml:space="preserve">Measure UNION TO TIP. The union is where the limb attaches to the trunk (or to a larger parent limb). Measure the full length of the lead, not just the trunk-bound portion.</t>
  </si>
  <si>
    <t xml:space="preserve">Measurement — Diameter</t>
  </si>
  <si>
    <t xml:space="preserve">Measure diameter AT THE UNION, where the limb attaches. NOT at the midpoint, NOT at the tip. The union is the thickest point and the one that matters for structural and removal-effort terms.</t>
  </si>
  <si>
    <t xml:space="preserve">Pricing</t>
  </si>
  <si>
    <t xml:space="preserve">Apply Tree_Removal_Floor_Per_Foot × Lead_Length_Ft as a minimum for that lead, ON TOP OF the standard hourly buildup for the rest of the trimming job.</t>
  </si>
  <si>
    <t xml:space="preserve">Why this matters</t>
  </si>
  <si>
    <t xml:space="preserve">A large lead is essentially a small tree growing off another tree. Removing one takes climbing, rigging, dropping, chunking, and hauling — same work as removing a small tree. The 8" threshold draws the line between 'a big branch we trim' and 'a small tree we remove from the larger tree.'</t>
  </si>
  <si>
    <t xml:space="preserve">When NOT to apply</t>
  </si>
  <si>
    <t xml:space="preserve">Standard trimming cuts on limbs under 8" union diameter are part of normal hourly trimming work — no separate tree-treatment charge. The hourly buildup covers them.</t>
  </si>
  <si>
    <t xml:space="preserve">4. Limb-as-Tree Quick Reference</t>
  </si>
  <si>
    <t xml:space="preserve">Union Dia (in)</t>
  </si>
  <si>
    <t xml:space="preserve">Lead Length (ft)</t>
  </si>
  <si>
    <t xml:space="preserve">Treat as Tree?</t>
  </si>
  <si>
    <t xml:space="preserve">Floor Charge</t>
  </si>
  <si>
    <t xml:space="preserve">Below 8" threshold — standard trimming, no separate charge</t>
  </si>
  <si>
    <t xml:space="preserve">AT threshold — apply floor</t>
  </si>
  <si>
    <t xml:space="preserve">Above threshold — apply floor</t>
  </si>
  <si>
    <t xml:space="preserve">Significant lead — floor likely covered by hourly anyway</t>
  </si>
  <si>
    <t xml:space="preserve">Large lead, essentially a small tree</t>
  </si>
  <si>
    <t xml:space="preserve">Very large lead, plan rigging accordingly</t>
  </si>
  <si>
    <t xml:space="preserve">5. Tree Removal Quick Calculator</t>
  </si>
  <si>
    <t xml:space="preserve">Enter the tree height and the hourly buildup. The calculator shows whether the floor or the buildup wins.</t>
  </si>
  <si>
    <t xml:space="preserve">Hourly Buildup ($)</t>
  </si>
  <si>
    <t xml:space="preserve">Floor ($)</t>
  </si>
  <si>
    <t xml:space="preserve">Final Quote</t>
  </si>
  <si>
    <t xml:space="preserve">Which Won</t>
  </si>
  <si>
    <t xml:space="preserve">Takedowns — Cut Down, Leave It</t>
  </si>
  <si>
    <t xml:space="preserve">A 'takedown' is just cutting the tree down with NO removal or haul-away. The customer takes the wood, or it's a forestry situation. Pricing is FLAT TIERED based on cutting method, with a DBH-based floor for large trees.</t>
  </si>
  <si>
    <t xml:space="preserve">1. Takedown Pricing Tiers</t>
  </si>
  <si>
    <t xml:space="preserve">Cutting Method</t>
  </si>
  <si>
    <t xml:space="preserve">When to use</t>
  </si>
  <si>
    <t xml:space="preserve">From the bottom, no rope</t>
  </si>
  <si>
    <t xml:space="preserve">Simple notch-and-felling cut. Open area, no obstacles, natural lean OK. No rigging needed at all.</t>
  </si>
  <si>
    <t xml:space="preserve">From the bottom with a wedge</t>
  </si>
  <si>
    <t xml:space="preserve">Wedge driven into the back cut to steer the fall against natural lean. Used when the open drop zone is offset from where the tree wants to go.</t>
  </si>
  <si>
    <t xml:space="preserve">From the bottom with a rope</t>
  </si>
  <si>
    <t xml:space="preserve">Pull rope attached high on the tree, pulled by hand or vehicle to direct the fall. Used when wedge alone isn't enough to redirect.</t>
  </si>
  <si>
    <t xml:space="preserve">From the bottom through a pulley in the woods</t>
  </si>
  <si>
    <t xml:space="preserve">Rope routed through a pulley/redirect anchored to another tree, then pulled by truck or winch. Allows pulling the tree in a direction that's not in line with the puller. Used in tight wooded situations.</t>
  </si>
  <si>
    <t xml:space="preserve">Any takedown of a tree over 24" DBH</t>
  </si>
  <si>
    <t xml:space="preserve">Regardless of cutting method, trees over 24" DBH price at this floor due to the technical skill required (proper face cut sizing, hinge management, plunge cuts, etc.). If a larger method-based price applies, use the higher one.</t>
  </si>
  <si>
    <t xml:space="preserve">2. How to Pick a Tier (Decision Logic)</t>
  </si>
  <si>
    <t xml:space="preserve">Takedown pricing is REPLACEMENT, not cumulative. You pick the ONE tier that describes the takedown, not multiple.</t>
  </si>
  <si>
    <t xml:space="preserve">If multiple tiers could apply (e.g., a 26" DBH tree being felled with a rope), use the HIGHER of the two prices. The Over_24_DBH tier is a floor that overrides simpler-method prices for large trees.</t>
  </si>
  <si>
    <t xml:space="preserve">The cutting method tier is determined by WHAT THE JOB ACTUALLY REQUIRES, not what the customer asks for. If the customer says 'just fell it' but you arrive and see the lean is into the house, you'll use a rope — quote the rope tier.</t>
  </si>
  <si>
    <t xml:space="preserve">These prices are takedown-only — no chipping, no log hauling, no stump grinding. Add those line items separately if requested.</t>
  </si>
  <si>
    <t xml:space="preserve">If the takedown is over an obstacle or power line, apply the appropriate Hazard Modifier (see Hazard Modifiers sheet). A 22" DBH rope-takedown over the house: $200 × 2.0 = $400.</t>
  </si>
  <si>
    <t xml:space="preserve">If the tree is small enough that the standard Tree Removal rules give a higher price, use those instead. Takedowns are floor prices for STRAIGHTFORWARD felling; complex removals have other floors that take precedence (see Tree Removal Detailed sheet).</t>
  </si>
  <si>
    <t xml:space="preserve">3. Quick Examples</t>
  </si>
  <si>
    <t xml:space="preserve">18" DBH pine in open woods, easy lean — drop with no rope</t>
  </si>
  <si>
    <t xml:space="preserve">$100</t>
  </si>
  <si>
    <t xml:space="preserve">14" DBH maple in backyard, wedge needed to clear shed</t>
  </si>
  <si>
    <t xml:space="preserve">$150</t>
  </si>
  <si>
    <t xml:space="preserve">20" DBH ash, pull rope used to steer away from driveway</t>
  </si>
  <si>
    <t xml:space="preserve">$200</t>
  </si>
  <si>
    <t xml:space="preserve">16" DBH cherry in tight woods, pulley redirect to truck</t>
  </si>
  <si>
    <t xml:space="preserve">$300</t>
  </si>
  <si>
    <t xml:space="preserve">28" DBH oak in open field, simple felling with wedge</t>
  </si>
  <si>
    <t xml:space="preserve">$400 (24" floor wins over $150 method tier)</t>
  </si>
  <si>
    <t xml:space="preserve">32" DBH maple, complex pulley setup</t>
  </si>
  <si>
    <t xml:space="preserve">$400 (24" floor; if method tier had been higher, would use that)</t>
  </si>
  <si>
    <t xml:space="preserve">22" DBH pine, rope, but it's over the house</t>
  </si>
  <si>
    <t xml:space="preserve">$200 × 2.0 hazard modifier = $400</t>
  </si>
  <si>
    <t xml:space="preserve">Tree Removal — Detailed Pricing Rules</t>
  </si>
  <si>
    <t xml:space="preserve">Tree removal uses MULTIPLE INDEPENDENT FLOOR RULES. Calculate each rule that applies. QUOTE THE HIGHEST. These are NOT cumulative — they are competing floors, and the largest wins. Hourly buildup still applies; if buildup exceeds all floors, use buildup. Hazard modifiers apply on top.</t>
  </si>
  <si>
    <t xml:space="preserve">1. The Floor Rules — Calculate Each, Take the Highest</t>
  </si>
  <si>
    <t xml:space="preserve">Formula</t>
  </si>
  <si>
    <t xml:space="preserve">When it Applies</t>
  </si>
  <si>
    <t xml:space="preserve">Height — No Rigging</t>
  </si>
  <si>
    <t xml:space="preserve">Tree_Removal_Floor_Per_Foot × Height_Ft</t>
  </si>
  <si>
    <t xml:space="preserve">Default removal. $10/ft. A 20' tree = $200 min. A 70' tree = $700 min.</t>
  </si>
  <si>
    <t xml:space="preserve">Height — Moderate Rigging</t>
  </si>
  <si>
    <t xml:space="preserve">Rigging_Floor_Moderate × Height_Ft</t>
  </si>
  <si>
    <t xml:space="preserve">Some rigging required — ropes, controlled descents for select pieces. $20/ft.</t>
  </si>
  <si>
    <t xml:space="preserve">Height — Complex Rigging</t>
  </si>
  <si>
    <t xml:space="preserve">Rigging_Floor_Complex × Height_Ft</t>
  </si>
  <si>
    <t xml:space="preserve">Tight spot, rope down every cut, confined drop zone. $30/ft. A 50' maple in a tight spot is at least $1,500.</t>
  </si>
  <si>
    <t xml:space="preserve">DBH — No Rigging</t>
  </si>
  <si>
    <t xml:space="preserve">DBH_Floor_No_Rigging × DBH_Inches</t>
  </si>
  <si>
    <t xml:space="preserve">Applies primarily to trees over 16" DBH. $50/inch. A 12" DBH ash = $600 min. Exception: if only the base is over 18" DBH but the rest isn't and we can throw the one log in with chips, this rule may not apply — judgment call.</t>
  </si>
  <si>
    <t xml:space="preserve">DBH — Moderate Rigging</t>
  </si>
  <si>
    <t xml:space="preserve">DBH_Floor_Moderate_Rigging × DBH_Inches</t>
  </si>
  <si>
    <t xml:space="preserve">$100/inch (= $50 × 2). A 12" DBH ash with moderate rigging = $1,200 min.</t>
  </si>
  <si>
    <t xml:space="preserve">DBH — Complex Rigging</t>
  </si>
  <si>
    <t xml:space="preserve">DBH_Floor_Complex_Rigging × DBH_Inches</t>
  </si>
  <si>
    <t xml:space="preserve">$137.50/inch (= $50 × 2.75, midpoint of 2.5-3x range). A 12" DBH ash with complex rigging = $1,650 min. Estimator can adjust within $125-$150/inch range.</t>
  </si>
  <si>
    <t xml:space="preserve">Codominant Leads</t>
  </si>
  <si>
    <t xml:space="preserve">Single_Lead_Price × Codominant_Lead_Multiplier</t>
  </si>
  <si>
    <t xml:space="preserve">Tree with codominant leads should be treated as multiple trees. 2.0x for 2 leads, up to 3.0x for 3+ leads. A 70' ash with 3 codominant leads: $700 × 2.0-3.0 = $1,400-$2,100.</t>
  </si>
  <si>
    <t xml:space="preserve">Loader Required</t>
  </si>
  <si>
    <t xml:space="preserve">Any tree big enough to need a loader/skid steer to move logs = $750 minimum.</t>
  </si>
  <si>
    <t xml:space="preserve">1 Log Load Hauled</t>
  </si>
  <si>
    <t xml:space="preserve">Any tree producing enough wood for 1 hauled load = $1,000 minimum.</t>
  </si>
  <si>
    <t xml:space="preserve">Multiple Log Loads</t>
  </si>
  <si>
    <t xml:space="preserve">Per_Log_Load_Minimum × Number_of_Loads</t>
  </si>
  <si>
    <t xml:space="preserve">Multiple loads: $2,000 minimum PER LOAD. A 3-load tree = $6,000 minimum from this rule.</t>
  </si>
  <si>
    <t xml:space="preserve">2. Rigging Classification Guide</t>
  </si>
  <si>
    <t xml:space="preserve">Class</t>
  </si>
  <si>
    <t xml:space="preserve">What It Means</t>
  </si>
  <si>
    <t xml:space="preserve">Examples</t>
  </si>
  <si>
    <t xml:space="preserve">No Rigging</t>
  </si>
  <si>
    <t xml:space="preserve">Tree can be felled or limbs dropped freely without controlled descent</t>
  </si>
  <si>
    <t xml:space="preserve">Open backyard, woods edge, parking lot — anywhere there's a clear drop zone the size of the tree</t>
  </si>
  <si>
    <t xml:space="preserve">Moderate Rigging</t>
  </si>
  <si>
    <t xml:space="preserve">Some pieces need to be roped down or lowered, but most can drop</t>
  </si>
  <si>
    <t xml:space="preserve">Suburban yard with one obstacle to clear; tree near (but not over) a structure; pieces over a flower bed or driveway need control</t>
  </si>
  <si>
    <t xml:space="preserve">Complex Rigging</t>
  </si>
  <si>
    <t xml:space="preserve">Most or every cut requires controlled descent — speedline, blocks, friction devices</t>
  </si>
  <si>
    <t xml:space="preserve">Tree in a tight courtyard; tree directly over the house with no clear drop zone; very large limbs needing block-and-tackle; backyard with no equipment access</t>
  </si>
  <si>
    <t xml:space="preserve">3. Log Volume Estimator (for determining load count)</t>
  </si>
  <si>
    <t xml:space="preserve">Estimate how many log loads a tree will produce. Measure FROM THE BASE TO THE HIGHEST POINT OF UNCHIPPABLE LOG (not the full tree height — small upper sections become chips, not logs). Use trunk diameter as a representative cylinder. It doesn't matter if the tree has many leads — the average volume is the same until near the tips.</t>
  </si>
  <si>
    <t xml:space="preserve">Solid Wood Volume (cu yd)</t>
  </si>
  <si>
    <t xml:space="preserve">π × (DBH_Inches / 24)² × Log_Height_Ft / 27</t>
  </si>
  <si>
    <t xml:space="preserve">Stacked Volume (cu yd)</t>
  </si>
  <si>
    <t xml:space="preserve">Solid_Volume × Log_Stack_Packing_Factor (= 1.3)</t>
  </si>
  <si>
    <t xml:space="preserve">Dump Trailer Loads</t>
  </si>
  <si>
    <t xml:space="preserve">Stacked_Volume / Dump_Trailer_CuYd (= 14)</t>
  </si>
  <si>
    <t xml:space="preserve">Log Truck Loads</t>
  </si>
  <si>
    <t xml:space="preserve">Stacked_Volume / Log_Truck_CuYd (= 60)</t>
  </si>
  <si>
    <t xml:space="preserve">Live calculator — enter tree dimensions in BLUE cells:</t>
  </si>
  <si>
    <t xml:space="preserve">DBH (inches)</t>
  </si>
  <si>
    <t xml:space="preserve">Log Height (ft)</t>
  </si>
  <si>
    <t xml:space="preserve">Solid Volume (cu yd)</t>
  </si>
  <si>
    <t xml:space="preserve">Dump Loads</t>
  </si>
  <si>
    <t xml:space="preserve">Small ash</t>
  </si>
  <si>
    <t xml:space="preserve">Medium maple</t>
  </si>
  <si>
    <t xml:space="preserve">Large oak</t>
  </si>
  <si>
    <t xml:space="preserve">Mature maple</t>
  </si>
  <si>
    <t xml:space="preserve">Cameron's example: 3' × 40'</t>
  </si>
  <si>
    <t xml:space="preserve">Very large tree</t>
  </si>
  <si>
    <t xml:space="preserve">Massive specimen</t>
  </si>
  <si>
    <t xml:space="preserve">4. Tree Removal Quote Worksheet — Combined Calculator</t>
  </si>
  <si>
    <t xml:space="preserve">Enter tree info in BLUE cells. The sheet calculates each applicable floor and picks the highest, then adds log truck disposal cost (if applicable) to produce the suggested job minimum.</t>
  </si>
  <si>
    <t xml:space="preserve">Tree Height (ft):</t>
  </si>
  <si>
    <t xml:space="preserve">DBH (inches):</t>
  </si>
  <si>
    <t xml:space="preserve">Rigging (none/moderate/complex):</t>
  </si>
  <si>
    <t xml:space="preserve">none</t>
  </si>
  <si>
    <t xml:space="preserve">Codominant leads (1, 2, or 3):</t>
  </si>
  <si>
    <t xml:space="preserve">Loader required? (yes/no):</t>
  </si>
  <si>
    <t xml:space="preserve">no</t>
  </si>
  <si>
    <t xml:space="preserve">Number of dump trailer loads to haul:</t>
  </si>
  <si>
    <t xml:space="preserve">Use log truck disposal? (auto/yes/no):</t>
  </si>
  <si>
    <t xml:space="preserve">auto</t>
  </si>
  <si>
    <t xml:space="preserve">Auto-detects: if dump loads &gt; 2, switches to log truck disposal. Override with "yes" or "no".</t>
  </si>
  <si>
    <t xml:space="preserve"># of log truck loads (60-yd, 0 = auto-calc):</t>
  </si>
  <si>
    <t xml:space="preserve">Leave at 0 to auto-calculate from dump loads. Enter a number to override.</t>
  </si>
  <si>
    <t xml:space="preserve">Applicable Floor</t>
  </si>
  <si>
    <t xml:space="preserve">Result</t>
  </si>
  <si>
    <t xml:space="preserve">Height floor</t>
  </si>
  <si>
    <t xml:space="preserve">DBH floor</t>
  </si>
  <si>
    <t xml:space="preserve">Codominant lead floor</t>
  </si>
  <si>
    <t xml:space="preserve">Loader required floor</t>
  </si>
  <si>
    <t xml:space="preserve">Log load floor</t>
  </si>
  <si>
    <t xml:space="preserve">HIGHEST FLOOR (from rules above):</t>
  </si>
  <si>
    <t xml:space="preserve">Log truck disposal:</t>
  </si>
  <si>
    <t xml:space="preserve">SUGGESTED JOB MINIMUM (floor + log truck disposal):</t>
  </si>
  <si>
    <t xml:space="preserve">Then compare to hourly buildup (Bucket Truck + Climber + Ground Worker + Chip Truck). Quote whichever is higher. Then apply Hazard Modifiers if applicable (from Hazard Modifiers sheet). Then apply any Job Multipliers (poison ivy, leave-all, etc., from Job Multipliers sheet) — but the SUGGESTED JOB MINIMUM above is inviolable.</t>
  </si>
  <si>
    <t xml:space="preserve">Tree Trimming — Detailed Pricing Rules</t>
  </si>
  <si>
    <t xml:space="preserve">Trimming uses MULTIPLE INDEPENDENT FLOOR RULES — calculate each, take the HIGHEST. Hourly buildup also applies. If a secondary or tertiary lead is being removed AND its union diameter is 8" or more, price that lead as its own tree using the Tree Removal Detailed rules (this is in ADDITION to the trim work).</t>
  </si>
  <si>
    <t xml:space="preserve">1. Minimums by Number of Cuts</t>
  </si>
  <si>
    <t xml:space="preserve">Cut Scenario</t>
  </si>
  <si>
    <t xml:space="preserve">Minimum</t>
  </si>
  <si>
    <t xml:space="preserve">Description</t>
  </si>
  <si>
    <t xml:space="preserve">1 cut</t>
  </si>
  <si>
    <t xml:space="preserve">A single trimming cut. No rigging required.</t>
  </si>
  <si>
    <t xml:space="preserve">2 cuts close together</t>
  </si>
  <si>
    <t xml:space="preserve">Two cuts in proximity (one climb/setup serves both). No rigging required.</t>
  </si>
  <si>
    <t xml:space="preserve">Cut requiring rigging</t>
  </si>
  <si>
    <t xml:space="preserve">Any cut where rigging is required (rope down, controlled descent). Applies to one cut; if there are multiple rigged cuts, use this as a floor and buildup will exceed.</t>
  </si>
  <si>
    <t xml:space="preserve">Single cut requiring higher lifeline set</t>
  </si>
  <si>
    <t xml:space="preserve">Climber must set a higher lifeline (advance the SRT line or set a second TIP) before climbing out to the cut. Reflects the rigging setup time before the actual cut work.</t>
  </si>
  <si>
    <t xml:space="preserve">Multiple cuts requiring higher lifeline set</t>
  </si>
  <si>
    <t xml:space="preserve">Multiple cuts requiring the higher lifeline setup. Higher floor because the setup serves multiple cuts but each cut adds time.</t>
  </si>
  <si>
    <t xml:space="preserve">2. Minimums by Working Height</t>
  </si>
  <si>
    <t xml:space="preserve">Working Height</t>
  </si>
  <si>
    <t xml:space="preserve">&gt;= 30 feet</t>
  </si>
  <si>
    <t xml:space="preserve">Any trimming work at 30 ft or higher.</t>
  </si>
  <si>
    <t xml:space="preserve">&gt;= 40 feet</t>
  </si>
  <si>
    <t xml:space="preserve">Any trimming work at 40 ft or higher. Applies to smaller trimming work — major leads use tree pricing instead.</t>
  </si>
  <si>
    <t xml:space="preserve">3. Major Lead Removal — Price as a Tree</t>
  </si>
  <si>
    <t xml:space="preserve">When removing a SECONDARY or TERTIARY LEAD whose union diameter is 8 inches or more (at the union, the thickest point where it attaches), price that lead as its own tree using the Tree Removal Detailed rules.</t>
  </si>
  <si>
    <t xml:space="preserve">This is in ADDITION to the regular trimming charges. The trim work pays for the smaller cuts, sucker reduction, and reshaping — the lead-as-tree charge pays for what is essentially a small tree removal.</t>
  </si>
  <si>
    <t xml:space="preserve">Measure the lead's length UNION TO TIP. Apply Tree_Removal_Floor_Per_Foot × length as the minimum for that lead. If the lead is over 16" at the union, also apply the DBH floor ($50/inch).</t>
  </si>
  <si>
    <t xml:space="preserve">If multiple leads are being removed, treat each as its own small tree and stack the charges (this IS cumulative across leads, unlike the floor rules within a single tree which take the max).</t>
  </si>
  <si>
    <t xml:space="preserve">Threshold reminder: the Limb_As_Tree_Threshold is 8 inches diameter. Leads under 8" at the union are standard trim work — no separate tree-pricing charge.</t>
  </si>
  <si>
    <t xml:space="preserve">4. Trim Job Quote Worksheet</t>
  </si>
  <si>
    <t xml:space="preserve">Enter trim details in BLUE cells. Sheet picks the highest applicable floor. Compare to hourly buildup; use whichever is higher.</t>
  </si>
  <si>
    <t xml:space="preserve">Number of cuts:</t>
  </si>
  <si>
    <t xml:space="preserve">Rigging needed? (none/some/lifeline):</t>
  </si>
  <si>
    <t xml:space="preserve">some</t>
  </si>
  <si>
    <t xml:space="preserve">Working height (ft):</t>
  </si>
  <si>
    <t xml:space="preserve">Cut count floor</t>
  </si>
  <si>
    <t xml:space="preserve">Rigging floor</t>
  </si>
  <si>
    <t xml:space="preserve">HIGHEST FLOOR (use this as quote minimum):</t>
  </si>
  <si>
    <t xml:space="preserve">If a major lead (&gt;=8" union diameter) is being removed, ADD its tree-removal price on top. Then compare to hourly buildup; use whichever is higher. Apply Hazard Modifiers if applicable, then job multipliers, then Priority Scheduling — in that order.</t>
  </si>
  <si>
    <t xml:space="preserve">Job Multipliers — Poison Ivy, Leave-All, Leave-Logs, No-Small-Cleanup</t>
  </si>
  <si>
    <t xml:space="preserve">Discounts and surcharges that apply to the subtotal of a job. CRITICAL: After multipliers are applied, the final total CANNOT violate Spartan's minimums (line-item minimums, floor rules, etc.). If a discount would push the price below a minimum, the minimum wins.</t>
  </si>
  <si>
    <t xml:space="preserve">1. The Multipliers</t>
  </si>
  <si>
    <t xml:space="preserve">Effect</t>
  </si>
  <si>
    <t xml:space="preserve">When to Apply</t>
  </si>
  <si>
    <t xml:space="preserve">Poison Ivy</t>
  </si>
  <si>
    <t xml:space="preserve">+50% (× 1.50)</t>
  </si>
  <si>
    <t xml:space="preserve">Apply when poison ivy is present on the tree, on the bark, or in the work zone. Reflects PPE, slower work, decontamination, and worker exposure risk.</t>
  </si>
  <si>
    <t xml:space="preserve">Leave All — Light</t>
  </si>
  <si>
    <t xml:space="preserve">−25% (× 0.75)</t>
  </si>
  <si>
    <t xml:space="preserve">Customer agrees to leave SOME materials on site (e.g., chips stay, but logs go). Use the lighter end of the 25-75% range when most of the cleanup is still happening.</t>
  </si>
  <si>
    <t xml:space="preserve">Leave All — Heavy</t>
  </si>
  <si>
    <t xml:space="preserve">−75% (× 0.25)</t>
  </si>
  <si>
    <t xml:space="preserve">Customer agrees to leave ALL materials — no chipping, no log hauling, customer takes everything. Use the heavier end of the range when virtually no cleanup is happening.</t>
  </si>
  <si>
    <t xml:space="preserve">Leave Half Load of Logs</t>
  </si>
  <si>
    <t xml:space="preserve">−$150 per half load</t>
  </si>
  <si>
    <t xml:space="preserve">Customer keeps a half load of logs on site (saves us a haul/disposal trip). Discount is per half load.</t>
  </si>
  <si>
    <t xml:space="preserve">Leave Full Load of Logs</t>
  </si>
  <si>
    <t xml:space="preserve">−$300 per full load</t>
  </si>
  <si>
    <t xml:space="preserve">Customer keeps a full load of logs on site. Discount is per full load.</t>
  </si>
  <si>
    <t xml:space="preserve">No Small Cleanup</t>
  </si>
  <si>
    <t xml:space="preserve">−10% (× 0.90)</t>
  </si>
  <si>
    <t xml:space="preserve">Customer agrees no small debris (under 1" diameter) is removed. Mostly applies to trimming jobs where gathering small twiggy debris is labor-intensive.</t>
  </si>
  <si>
    <t xml:space="preserve">2. Critical Rules</t>
  </si>
  <si>
    <t xml:space="preserve">MINIMUMS ARE INVIOLABLE. After applying any combination of these multipliers, the final price CANNOT fall below Spartan's minimums. If a discount would push the job under the line-item minimum, the minimum wins and the discount is partially or fully absorbed.</t>
  </si>
  <si>
    <t xml:space="preserve">STACKING ORDER for the entire job: (1) HAZARD MODIFIERS apply first — multiply the WORK PORTION (labor + equipment hours + any limb-as-tree and tree-removal floor charges) by the single highest hazard tier (2x obstacle, 2x house power, 3x high power; NEVER stack). Add non-work items (logs, stump grinding, topsoil, materials) at base price = SUBTOTAL. (2) JOB MULTIPLIERS apply to the subtotal: chain percentage multipliers first (poison ivy × leave-all × no-small-cleanup), then subtract dollar discounts (leave-half-load −$150 each, leave-full-load −$300 each). (3) PRIORITY SCHEDULING (25%) is the LAST step, applied to the post-multiplier total. Example: $800 work × 2.0 obstacle = $1,600 + $250 logs = $1,850 subtotal. Poison ivy: × 1.5 = $2,775. Leave-all 50%: × 0.5 = $1,387.50. − $150 half load = $1,237.50. Priority Scheduling: × 1.25 = $1,546.88. MINIMUMS ALWAYS WIN — if a discount would push below a minimum, the minimum holds.</t>
  </si>
  <si>
    <t xml:space="preserve">POISON IVY AND LEAVE-ALL CAN COMBINE. A poison ivy job where customer leaves all: $800 × 1.5 × 0.5 = $600. Still subject to minimum floor.</t>
  </si>
  <si>
    <t xml:space="preserve">LEAVE-ALL IS A RANGE. Use judgment. If customer leaves chips but takes logs: maybe 25% off (close to no impact). If customer takes everything and we just fell and walk away: 75% off (huge labor savings on our end).</t>
  </si>
  <si>
    <t xml:space="preserve">LOG-LEFT DISCOUNTS COMPOUND WITH LOAD COUNT. If a tree produces 3 loads of logs and customer keeps all 3: -$900 ($300 × 3 full loads). Be careful here — verify with Cameron if discounts approach $500+ on a job.</t>
  </si>
  <si>
    <t xml:space="preserve">NO-SMALL-CLEANUP applies to the trim/cleanup portion only. On a tree removal where 95% of cost is the takedown and haul, this 10% has limited impact.</t>
  </si>
  <si>
    <t xml:space="preserve">3. Job Multiplier Calculator</t>
  </si>
  <si>
    <t xml:space="preserve">Enter base price in BLUE. Toggle multipliers. The minimum floor protects against over-discounting.</t>
  </si>
  <si>
    <t xml:space="preserve">Base price (subtotal):</t>
  </si>
  <si>
    <t xml:space="preserve">Job minimum floor:</t>
  </si>
  <si>
    <t xml:space="preserve">Poison ivy? (yes/no):</t>
  </si>
  <si>
    <t xml:space="preserve">Leave-all discount (0 to 0.75):</t>
  </si>
  <si>
    <t xml:space="preserve">Number of half loads of logs left:</t>
  </si>
  <si>
    <t xml:space="preserve">Number of full loads of logs left:</t>
  </si>
  <si>
    <t xml:space="preserve">No small cleanup? (yes/no):</t>
  </si>
  <si>
    <t xml:space="preserve">Step</t>
  </si>
  <si>
    <t xml:space="preserve">Running Total</t>
  </si>
  <si>
    <t xml:space="preserve">Explanation</t>
  </si>
  <si>
    <t xml:space="preserve">1. Base</t>
  </si>
  <si>
    <t xml:space="preserve">Starting subtotal</t>
  </si>
  <si>
    <t xml:space="preserve">2. After Poison Ivy</t>
  </si>
  <si>
    <t xml:space="preserve">3. After Leave-All</t>
  </si>
  <si>
    <t xml:space="preserve">4. After No Small Cleanup</t>
  </si>
  <si>
    <t xml:space="preserve">5. After Log Discounts</t>
  </si>
  <si>
    <t xml:space="preserve">6. FINAL (with minimum floor)</t>
  </si>
  <si>
    <t xml:space="preserve">Hazard Modifiers — Obstacle and Power Line Surcharges</t>
  </si>
  <si>
    <t xml:space="preserve">Tree work over obstacles or power lines is significantly more difficult, slower, and riskier than open-area work. These modifiers apply on top of the standard pricing and reflect the added rigging, controlled-descent, and certification requirements.</t>
  </si>
  <si>
    <t xml:space="preserve">1. The Three Hazard Tiers</t>
  </si>
  <si>
    <t xml:space="preserve">Tier</t>
  </si>
  <si>
    <t xml:space="preserve">Hazard Type</t>
  </si>
  <si>
    <t xml:space="preserve">1</t>
  </si>
  <si>
    <t xml:space="preserve">Standard</t>
  </si>
  <si>
    <t xml:space="preserve">1.0x</t>
  </si>
  <si>
    <t xml:space="preserve">Open area, no obstacles. No modifier applies. This is the default.</t>
  </si>
  <si>
    <t xml:space="preserve">2</t>
  </si>
  <si>
    <t xml:space="preserve">Over Obstacle</t>
  </si>
  <si>
    <t xml:space="preserve">2.0x</t>
  </si>
  <si>
    <t xml:space="preserve">House, garage, shed, fence, pool, driveway, parked vehicles, patio, deck, hardscape, expensive landscaping, neighbor's property. Anything you'd hate to drop wood on.</t>
  </si>
  <si>
    <t xml:space="preserve">Over House Power Lines</t>
  </si>
  <si>
    <t xml:space="preserve">The service drop from the utility pole to the building (the line connecting the pole to the weatherhead on the house). Lower voltage (~240V). Can usually be tagged or insulated by utility. Same multiplier as physical obstacles because risk profile is similar.</t>
  </si>
  <si>
    <t xml:space="preserve">3</t>
  </si>
  <si>
    <t xml:space="preserve">Over High Power Lines</t>
  </si>
  <si>
    <t xml:space="preserve">3.0x</t>
  </si>
  <si>
    <t xml:space="preserve">Primary distribution lines running along the street on top of utility poles (typically 7.2kV+). Often three-phase, no insulation, requires ANSI Z133 line-clearance certified workers AND/OR utility coordination to de-energize. Highest hazard tier.</t>
  </si>
  <si>
    <t xml:space="preserve">2. Composition Rules (when multiple hazards apply)</t>
  </si>
  <si>
    <t xml:space="preserve">TAKE THE HIGHEST. If a job qualifies for multiple modifiers, apply the single highest multiplier — do NOT stack them. A tree that is BOTH over the house AND over high power lines = 3.0x (not 2x × 3x = 6x).</t>
  </si>
  <si>
    <t xml:space="preserve">WORK ONLY. The modifier applies to LABOR and EQUIPMENT HOURS — the actual work portion. It does NOT apply to: stump grinding (ground level), haul-away (truck loading), materials (topsoil, mulch, stone), permits, or trip charges.</t>
  </si>
  <si>
    <t xml:space="preserve">WHOLE JOB FOR REMOVALS. If you're removing a tree that's over a hazard, the whole removal work scope gets the modifier — the entire tree has to come down through the hazard zone.</t>
  </si>
  <si>
    <t xml:space="preserve">AFFECTED PORTION FOR TRIMS. If only one lead of a trimming job is over a hazard, the modifier can apply just to that lead's portion. If most of the work is in the hazard zone, apply to the whole trim. Estimator judgment call — when in doubt, apply to whole job.</t>
  </si>
  <si>
    <t xml:space="preserve">LIMB-AS-TREE INTERACTION. If a lead-as-tree charge ($10/ft floor) applies AND that lead is over a hazard, the floor charge gets the multiplier too. A 20' lead over the house = $200 floor × 2.0 = $400 minimum for that lead.</t>
  </si>
  <si>
    <t xml:space="preserve">TREE REMOVAL FLOOR INTERACTION. The $10/ft tree removal floor also gets the multiplier. A 50' tree over high power lines: floor = $500 × 3.0 = $1,500. The buildup almost certainly wins anyway, but the floor scales with the hazard.</t>
  </si>
  <si>
    <t xml:space="preserve">GRINDING REMOVAL TRUCK ACCESS. The no-truck-access doubling on Grinding Removal is a SEPARATE, INDEPENDENT modifier that can coexist with hazard modifiers (they affect different line items).</t>
  </si>
  <si>
    <t xml:space="preserve">3. The Formula</t>
  </si>
  <si>
    <t xml:space="preserve">Hazard_Multiplier</t>
  </si>
  <si>
    <t xml:space="preserve">MAX( applicable modifiers ) — pick the single highest tier that applies, do not stack</t>
  </si>
  <si>
    <t xml:space="preserve">Work_Portion_Price</t>
  </si>
  <si>
    <t xml:space="preserve">Sum of: Bucket Truck hours + Climber hours + Ground Worker hours + Chip Truck hours + Limb-as-tree floors + Tree removal floor (whichever wins)</t>
  </si>
  <si>
    <t xml:space="preserve">Non_Work_Portion</t>
  </si>
  <si>
    <t xml:space="preserve">Sum of: Logs (haul), Stump Grinding, Topsoil &amp; Seed, materials, trip charges</t>
  </si>
  <si>
    <t xml:space="preserve">Final Job Price</t>
  </si>
  <si>
    <t xml:space="preserve">( Work_Portion_Price × Hazard_Multiplier ) + Non_Work_Portion = SUBTOTAL. Then apply Job Multipliers (poison ivy, leave-all, etc.), then add Priority Scheduling (25%) if requested. Hazard modifiers are the FIRST step in the multiplier stack — see Job Multipliers §2 for full ordering.</t>
  </si>
  <si>
    <t xml:space="preserve">4. Hazard Modifier Calculator</t>
  </si>
  <si>
    <t xml:space="preserve">Enter work portion, non-work portion, and check whichever hazards apply. The sheet picks the highest multiplier and computes the final price.</t>
  </si>
  <si>
    <t xml:space="preserve">Work Portion ($)</t>
  </si>
  <si>
    <t xml:space="preserve">Non-Work ($)</t>
  </si>
  <si>
    <t xml:space="preserve">Over Obstacle?</t>
  </si>
  <si>
    <t xml:space="preserve">Over House Power?</t>
  </si>
  <si>
    <t xml:space="preserve">Over High Power?</t>
  </si>
  <si>
    <t xml:space="preserve">Final Price</t>
  </si>
  <si>
    <t xml:space="preserve">No</t>
  </si>
  <si>
    <t xml:space="preserve">Yes</t>
  </si>
  <si>
    <t xml:space="preserve">5. How to Tell House Power vs High Power Lines</t>
  </si>
  <si>
    <t xml:space="preserve">Indicator</t>
  </si>
  <si>
    <t xml:space="preserve">House Power (Service Drop)</t>
  </si>
  <si>
    <t xml:space="preserve">High Power (Primary Distribution)</t>
  </si>
  <si>
    <t xml:space="preserve">Direction of run</t>
  </si>
  <si>
    <t xml:space="preserve">From utility pole TO a building</t>
  </si>
  <si>
    <t xml:space="preserve">Pole-to-pole along the street</t>
  </si>
  <si>
    <t xml:space="preserve">Voltage</t>
  </si>
  <si>
    <t xml:space="preserve">~240V (low voltage)</t>
  </si>
  <si>
    <t xml:space="preserve">7,200V+ (high voltage)</t>
  </si>
  <si>
    <t xml:space="preserve">Position on pole</t>
  </si>
  <si>
    <t xml:space="preserve">Lower on the pole, below the crossarms</t>
  </si>
  <si>
    <t xml:space="preserve">TOP of the pole, on or above crossarms</t>
  </si>
  <si>
    <t xml:space="preserve">Number of conductors</t>
  </si>
  <si>
    <t xml:space="preserve">Usually 2-3 wires twisted together (triplex)</t>
  </si>
  <si>
    <t xml:space="preserve">Usually 3 separated wires (three-phase) or 1-2 spaced wires</t>
  </si>
  <si>
    <t xml:space="preserve">Insulation</t>
  </si>
  <si>
    <t xml:space="preserve">Black insulated bundle</t>
  </si>
  <si>
    <t xml:space="preserve">Bare or minimally insulated copper/aluminum</t>
  </si>
  <si>
    <t xml:space="preserve">Connects to</t>
  </si>
  <si>
    <t xml:space="preserve">House weatherhead/meter</t>
  </si>
  <si>
    <t xml:space="preserve">Other utility poles, transformers (the can-shaped objects on poles)</t>
  </si>
  <si>
    <t xml:space="preserve">Modifier</t>
  </si>
  <si>
    <t xml:space="preserve">Risk if contact</t>
  </si>
  <si>
    <t xml:space="preserve">Severe shock, fire</t>
  </si>
  <si>
    <t xml:space="preserve">Electrocution likely fatal, arc flash</t>
  </si>
  <si>
    <t xml:space="preserve">6. Safety &amp; Procedural Reminders</t>
  </si>
  <si>
    <t xml:space="preserve">ANSI Z133 prohibits unqualified workers from working within 10 feet of energized high-voltage lines. If high-power-line work is required, a line-clearance qualified arborist must be on site OR the utility must de-energize the line before work begins.</t>
  </si>
  <si>
    <t xml:space="preserve">ALWAYS verify line type during the site visit, not by phone. A homeowner saying 'it's by power lines' could mean either type. Stand at the tree and trace the wires visually. Photograph the pole and lines and include with the estimate.</t>
  </si>
  <si>
    <t xml:space="preserve">For high-power line proximity, call RG&amp;E (or applicable utility) to schedule a de-energization or to request an insulating sleeve installation. Quote the customer with utility coordination time built in.</t>
  </si>
  <si>
    <t xml:space="preserve">Service drop (house power) can often be DETACHED at the weatherhead by the utility at no charge for tree work, then reconnected after. Schedule this during the estimate, not the day of work.</t>
  </si>
  <si>
    <t xml:space="preserve">If the customer pressures you to do work near lines without proper procedures, decline politely and explain the ANSI Z133 requirement. Do NOT modify the multiplier downward to win the job.</t>
  </si>
  <si>
    <t xml:space="preserve">Topsoil Estimation per Stump</t>
  </si>
  <si>
    <t xml:space="preserve">How much topsoil to bring per stump, based on diameter. Two scenarios: grindings left in place (3" topsoil cap on top) vs grindings hauled away (full 6" backfill).</t>
  </si>
  <si>
    <t xml:space="preserve">Formulas</t>
  </si>
  <si>
    <t xml:space="preserve">Stump_Diameter + Root_Flare_Margin</t>
  </si>
  <si>
    <t xml:space="preserve">Hole Area (sq ft)</t>
  </si>
  <si>
    <t xml:space="preserve">π × (Hole_Diameter / 24)²</t>
  </si>
  <si>
    <t xml:space="preserve">Topsoil Volume (cu ft) — cap</t>
  </si>
  <si>
    <t xml:space="preserve">Hole_Area × (Backfill_Depth_Cap / 12)</t>
  </si>
  <si>
    <t xml:space="preserve">Topsoil Volume (cu ft) — full</t>
  </si>
  <si>
    <t xml:space="preserve">Hole_Area × (Backfill_Depth_Full / 12)</t>
  </si>
  <si>
    <t xml:space="preserve">40-lb Bags</t>
  </si>
  <si>
    <t xml:space="preserve">CEILING( Topsoil_CuFt / CuFt_Per_Bag, 1 )</t>
  </si>
  <si>
    <t xml:space="preserve">Cubic Yards</t>
  </si>
  <si>
    <t xml:space="preserve">Topsoil_CuFt / CuFt_Per_CuYd</t>
  </si>
  <si>
    <t xml:space="preserve">Estimates by Stump Diameter</t>
  </si>
  <si>
    <t xml:space="preserve">Stump Dia (in)</t>
  </si>
  <si>
    <t xml:space="preserve">Hole Dia (in)</t>
  </si>
  <si>
    <t xml:space="preserve">Hole Area (sqft)</t>
  </si>
  <si>
    <t xml:space="preserve">Cu Ft (cap)</t>
  </si>
  <si>
    <t xml:space="preserve">Cu Ft (full)</t>
  </si>
  <si>
    <t xml:space="preserve">Bags (cap)</t>
  </si>
  <si>
    <t xml:space="preserve">Bags (full)</t>
  </si>
  <si>
    <t xml:space="preserve">Cu Yd (full)</t>
  </si>
  <si>
    <t xml:space="preserve">Practical Notes</t>
  </si>
  <si>
    <t xml:space="preserve">1. Most jobs are small enough that bagged topsoil is more practical than bulk delivery. A 24" stump only needs ~3 bags for a cap, ~5 bags for full backfill. Keep a half-pallet of 40-lb bags on the chip truck.</t>
  </si>
  <si>
    <t xml:space="preserve">2. Bulk delivery makes sense for jobs with 5+ medium-large stumps or any single stump 42"+. Threshold is roughly 0.5 cubic yards of total topsoil.</t>
  </si>
  <si>
    <t xml:space="preserve">3. Topsoil settles 10–20% over 4–8 weeks. Slightly overfill (mound about 1") so the surface stays flush after settling. Tell the customer this so they don't call about a low spot.</t>
  </si>
  <si>
    <t xml:space="preserve">4. Grindings are organic and will continue to decompose for years, which causes additional settling. If a customer plans to plant grass, sod, or anything else over the spot, recommend the FULL backfill option with grindings hauled away.</t>
  </si>
  <si>
    <t xml:space="preserve">5. If the customer wants to plant a new tree in the same spot, recommend at least 12 inches of grind depth (deeper than standard 4–6"). Quote separately for deeper grind and full backfill — these are NOT included in the standard formula.</t>
  </si>
  <si>
    <t xml:space="preserve">6. Bag pricing reference: bagged 40-lb topsoil retails for $3–5/bag at Home Depot. Bulk pricing reference: ~$30–50/cu yd delivered in the Rochester area for screened topsoil.</t>
  </si>
  <si>
    <t xml:space="preserve">Worked Pricing Examples</t>
  </si>
  <si>
    <t xml:space="preserve">Real job scenarios priced out step by step. Use these as training examples for new staff and as grounding for the AI assistant.</t>
  </si>
  <si>
    <t xml:space="preserve">Example 1 — Single small stump</t>
  </si>
  <si>
    <t xml:space="preserve">Scenario:</t>
  </si>
  <si>
    <t xml:space="preserve">Homeowner calls. One stump, 10" diameter, in front yard, easy access. Grindings can stay.</t>
  </si>
  <si>
    <t xml:space="preserve">Line Item</t>
  </si>
  <si>
    <t xml:space="preserve">Amount</t>
  </si>
  <si>
    <t xml:space="preserve">Primary Stump (10")</t>
  </si>
  <si>
    <t xml:space="preserve">MAX($100, $100 + $11 × (10 − 12)) = MAX($100, $78) = $100</t>
  </si>
  <si>
    <t xml:space="preserve">Grinding Removal</t>
  </si>
  <si>
    <t xml:space="preserve">Customer leaves grindings on site</t>
  </si>
  <si>
    <t xml:space="preserve">$0</t>
  </si>
  <si>
    <t xml:space="preserve">Topsoil &amp; Seed</t>
  </si>
  <si>
    <t xml:space="preserve">Optional. Customer declines.</t>
  </si>
  <si>
    <t xml:space="preserve">Note:</t>
  </si>
  <si>
    <t xml:space="preserve">The minimum kicks in because 10" is below the 12" Free_Diameter. Customer is told $100 flat.</t>
  </si>
  <si>
    <t xml:space="preserve">Example 2 — Single medium stump</t>
  </si>
  <si>
    <t xml:space="preserve">Homeowner has one 24" oak stump after a removal. Wants grindings removed and topsoil/seed.</t>
  </si>
  <si>
    <t xml:space="preserve">Primary Stump (24")</t>
  </si>
  <si>
    <t xml:space="preserve">MAX($100, $100 + $11 × (24 − 12)) = MAX($100, $232) = $232</t>
  </si>
  <si>
    <t xml:space="preserve">$232</t>
  </si>
  <si>
    <t xml:space="preserve">grind price = $232 (truck has access)</t>
  </si>
  <si>
    <t xml:space="preserve">24" stump → ~5 bags full backfill OR ~0.13 cu yd. Charge per Topsoil &amp; Seeding rate.</t>
  </si>
  <si>
    <t xml:space="preserve">~$50</t>
  </si>
  <si>
    <t xml:space="preserve">~$514</t>
  </si>
  <si>
    <t xml:space="preserve">If truck CANNOT access the stump, Grinding Removal would be $464 instead of $232 (doubled).</t>
  </si>
  <si>
    <t xml:space="preserve">Example 3 — Multi-stump job (the 5-stump example)</t>
  </si>
  <si>
    <t xml:space="preserve">Backyard with five stumps from a recent storm cleanup. Diameters: 14", 10", 8", 6", 5". Truck access. Customer wants grindings hauled and topsoil/seed.</t>
  </si>
  <si>
    <t xml:space="preserve">Primary Stump (14")</t>
  </si>
  <si>
    <t xml:space="preserve">MAX($100, $100 + $11 × (14 − 12)) = $122</t>
  </si>
  <si>
    <t xml:space="preserve">$122</t>
  </si>
  <si>
    <t xml:space="preserve">Add-on Stump (10")</t>
  </si>
  <si>
    <t xml:space="preserve">MAX($25, $5 × 10) = $50</t>
  </si>
  <si>
    <t xml:space="preserve">$50</t>
  </si>
  <si>
    <t xml:space="preserve">Add-on Stump (8")</t>
  </si>
  <si>
    <t xml:space="preserve">MAX($25, $5 × 8) = $40</t>
  </si>
  <si>
    <t xml:space="preserve">$40</t>
  </si>
  <si>
    <t xml:space="preserve">Add-on Stump (6")</t>
  </si>
  <si>
    <t xml:space="preserve">MAX($25, $5 × 6) = $30</t>
  </si>
  <si>
    <t xml:space="preserve">$30</t>
  </si>
  <si>
    <t xml:space="preserve">Add-on Stump (5")</t>
  </si>
  <si>
    <t xml:space="preserve">MAX($25, $5 × 5) = $25</t>
  </si>
  <si>
    <t xml:space="preserve">$25</t>
  </si>
  <si>
    <t xml:space="preserve">Subtotal Grinding</t>
  </si>
  <si>
    <t xml:space="preserve">$122 + $50 + $40 + $30 + $25</t>
  </si>
  <si>
    <t xml:space="preserve">$267</t>
  </si>
  <si>
    <t xml:space="preserve">grinding subtotal = $267</t>
  </si>
  <si>
    <t xml:space="preserve">5 small stumps, ~3 bags each cap or ~2 bags each cap on small ones. Total ~10–12 bags or quote per Topsoil &amp; Seeding line.</t>
  </si>
  <si>
    <t xml:space="preserve">~$80</t>
  </si>
  <si>
    <t xml:space="preserve">~$614</t>
  </si>
  <si>
    <t xml:space="preserve">Compare to standalone pricing: 5 × $100 = $500 just for grinding the small ones. Bundling saves the customer significant money and ensures Spartan is fairly compensated for actual on-site work.</t>
  </si>
  <si>
    <t xml:space="preserve">Example 4 — Large single stump</t>
  </si>
  <si>
    <t xml:space="preserve">Commercial property with one 48" maple stump. Difficult access requires walking the grinder around the back of the building. No truck access for grinding removal.</t>
  </si>
  <si>
    <t xml:space="preserve">Primary Stump (48")</t>
  </si>
  <si>
    <t xml:space="preserve">MAX($100, $100 + $11 × (48 − 12)) = $496</t>
  </si>
  <si>
    <t xml:space="preserve">$496</t>
  </si>
  <si>
    <t xml:space="preserve">grind price × 2 because no truck access = $496 × 2 = $992</t>
  </si>
  <si>
    <t xml:space="preserve">$992</t>
  </si>
  <si>
    <t xml:space="preserve">48" → ~14 bags full backfill. Quote per Topsoil &amp; Seeding line.</t>
  </si>
  <si>
    <t xml:space="preserve">~$150</t>
  </si>
  <si>
    <t xml:space="preserve">~$1,638</t>
  </si>
  <si>
    <t xml:space="preserve">ALWAYS ask about truck access before quoting grinding removal on larger stumps — the doubling can change a quote by $500+.</t>
  </si>
  <si>
    <t xml:space="preserve">Example 5 — Stump grinding bundled with other work</t>
  </si>
  <si>
    <t xml:space="preserve">Tree removal job. Bucket truck rolls. Crew of 2 ground workers + climber. Job takes 4 hours. After removal, the new stump (28") needs grinding the same day.</t>
  </si>
  <si>
    <t xml:space="preserve">Bucket Truck w/ Operator</t>
  </si>
  <si>
    <t xml:space="preserve">4 hours × $250 = $1,000 (above 2-hour minimum)</t>
  </si>
  <si>
    <t xml:space="preserve">$1,000</t>
  </si>
  <si>
    <t xml:space="preserve">4 hours × $250 = $1,000</t>
  </si>
  <si>
    <t xml:space="preserve">Ground Worker × 2</t>
  </si>
  <si>
    <t xml:space="preserve">2 × (4 hours × $125) = $1,000</t>
  </si>
  <si>
    <t xml:space="preserve">Chip Truck w/ Operator</t>
  </si>
  <si>
    <t xml:space="preserve">Assume 1 load</t>
  </si>
  <si>
    <t xml:space="preserve">$250</t>
  </si>
  <si>
    <t xml:space="preserve">Primary Stump (28")</t>
  </si>
  <si>
    <t xml:space="preserve">MAX($100, $100 + $11 × (28 − 12)) = $276</t>
  </si>
  <si>
    <t xml:space="preserve">$276</t>
  </si>
  <si>
    <t xml:space="preserve">Truck access, = $276</t>
  </si>
  <si>
    <t xml:space="preserve">$4,802</t>
  </si>
  <si>
    <t xml:space="preserve">Stump grinding becomes a small additional line at the end of a removal job. Apply the Primary Stump formula even though the stump is created same-day as removal — it's still the largest stump on the job.</t>
  </si>
  <si>
    <t xml:space="preserve">Example 6 — Small tree removal where floor kicks in</t>
  </si>
  <si>
    <t xml:space="preserve">Homeowner has a 15-foot dead ornamental tree in the front yard. Climber only, no bucket, no chipper needed (will haul whole). Job takes 1 hour.</t>
  </si>
  <si>
    <t xml:space="preserve">Climber (1hr × $250)</t>
  </si>
  <si>
    <t xml:space="preserve">1 × $250 = $250 (above $250 minimum)</t>
  </si>
  <si>
    <t xml:space="preserve">Hourly buildup subtotal</t>
  </si>
  <si>
    <t xml:space="preserve">Just the climber</t>
  </si>
  <si>
    <t xml:space="preserve">Tree Removal Floor</t>
  </si>
  <si>
    <t xml:space="preserve">$10 × 15 ft = $150</t>
  </si>
  <si>
    <t xml:space="preserve">Final Quote (MAX of buildup vs floor)</t>
  </si>
  <si>
    <t xml:space="preserve">MAX($250, $150) = $250</t>
  </si>
  <si>
    <t xml:space="preserve">In this case the hourly buildup beats the floor. The floor is a sanity check but doesn't change the price. The customer gets $250 because that's what the climber's time is worth — not because the tree is 15 feet tall.</t>
  </si>
  <si>
    <t xml:space="preserve">Example 7 — Suspiciously cheap quote caught by the floor</t>
  </si>
  <si>
    <t xml:space="preserve">Hypothetical: A 60-foot tree in a wide-open field, no obstacles, full crane access, comes down in 30 minutes. New estimator does the hourly buildup wrong and only charges $300.</t>
  </si>
  <si>
    <t xml:space="preserve">Hourly buildup (estimator's draft)</t>
  </si>
  <si>
    <t xml:space="preserve">Underestimated</t>
  </si>
  <si>
    <t xml:space="preserve">$10 × 60 ft = $600</t>
  </si>
  <si>
    <t xml:space="preserve">$600</t>
  </si>
  <si>
    <t xml:space="preserve">Final Quote (MAX)</t>
  </si>
  <si>
    <t xml:space="preserve">MAX($300, $600) = $600</t>
  </si>
  <si>
    <t xml:space="preserve">Flag</t>
  </si>
  <si>
    <t xml:space="preserve">Floor won — review the buildup. A 60' tree shouldn't quote under $600 even in perfect conditions.</t>
  </si>
  <si>
    <t xml:space="preserve">$600 (minimum) — REVIEW</t>
  </si>
  <si>
    <t xml:space="preserve">The floor is doing its job here. The estimator should re-check their buildup. A 60-foot tree almost always involves a bucket truck, climber, chipper, and log haul, which puts real cost in the $2,000+ range. The floor catches the most obvious undercharges but is NOT a substitute for a proper buildup.</t>
  </si>
  <si>
    <t xml:space="preserve">Example 8 — Trimming with a large lead reduction</t>
  </si>
  <si>
    <t xml:space="preserve">Customer has a mature oak. Wants crown thinning and reduction of one massive horizontal lead that's stressing a co-dominant union over their driveway. The lead is 22 feet long from union to tip with a 14" diameter at the union. Bucket truck access. Job takes 4 hours total.</t>
  </si>
  <si>
    <t xml:space="preserve">Bucket Truck (4hr × $250)</t>
  </si>
  <si>
    <t xml:space="preserve">4 × $250 = $1,000</t>
  </si>
  <si>
    <t xml:space="preserve">Climber (4hr × $250)</t>
  </si>
  <si>
    <t xml:space="preserve">Ground Worker (4hr × $125)</t>
  </si>
  <si>
    <t xml:space="preserve">4 × $125 = $500</t>
  </si>
  <si>
    <t xml:space="preserve">$500</t>
  </si>
  <si>
    <t xml:space="preserve">Chip Truck (4hr × $250)</t>
  </si>
  <si>
    <t xml:space="preserve">Limb-as-Tree (14" union &gt; 8" threshold)</t>
  </si>
  <si>
    <t xml:space="preserve">$10 × 22 ft = $220 — floor for the major lead</t>
  </si>
  <si>
    <t xml:space="preserve">$220</t>
  </si>
  <si>
    <t xml:space="preserve">Buildup covers normal trimming work</t>
  </si>
  <si>
    <t xml:space="preserve">$3,500</t>
  </si>
  <si>
    <t xml:space="preserve">$3,500 buildup + $220 limb-as-tree floor</t>
  </si>
  <si>
    <t xml:space="preserve">$3,720</t>
  </si>
  <si>
    <t xml:space="preserve">The 14" union diameter triggers limb-as-tree treatment because it is at or above the 8" threshold. The $220 lead-removal charge is added because removing that specific lead is essentially a small tree removal that the hourly buildup didn't account for separately. If the union had been 7" instead of 14", no separate charge — that lead would have been covered by normal trimming work.</t>
  </si>
  <si>
    <t xml:space="preserve">Example 9 — Removal over a house</t>
  </si>
  <si>
    <t xml:space="preserve">60-foot maple leaning over the customer's house. Bucket truck + climber + 2 ground workers + chip truck, 6 hours. Logs hauled. 36" stump to grind, full topsoil/seed backfill.</t>
  </si>
  <si>
    <t xml:space="preserve">Bucket Truck (6hr × $250)</t>
  </si>
  <si>
    <t xml:space="preserve">6 × $250 = $1,500</t>
  </si>
  <si>
    <t xml:space="preserve">$1,500</t>
  </si>
  <si>
    <t xml:space="preserve">Climber (6hr × $250)</t>
  </si>
  <si>
    <t xml:space="preserve">Ground Worker × 2 (6hr × $125)</t>
  </si>
  <si>
    <t xml:space="preserve">2 × 6 × $125 = $1,500</t>
  </si>
  <si>
    <t xml:space="preserve">Chip Truck (6hr × $250)</t>
  </si>
  <si>
    <t xml:space="preserve">Work Portion Subtotal</t>
  </si>
  <si>
    <t xml:space="preserve">Labor + equipment</t>
  </si>
  <si>
    <t xml:space="preserve">$6,000</t>
  </si>
  <si>
    <t xml:space="preserve">Hazard Modifier — Over Obstacle (house)</t>
  </si>
  <si>
    <t xml:space="preserve">× 2.0</t>
  </si>
  <si>
    <t xml:space="preserve">Adjusted Work Portion</t>
  </si>
  <si>
    <t xml:space="preserve">$6,000 × 2.0 = $12,000</t>
  </si>
  <si>
    <t xml:space="preserve">$12,000</t>
  </si>
  <si>
    <t xml:space="preserve">Logs Hauled (1 load, no modifier)</t>
  </si>
  <si>
    <t xml:space="preserve">Stump Grinding — Primary (36")</t>
  </si>
  <si>
    <t xml:space="preserve">$100 + $11 × (36 − 12) = $364 (no modifier — ground level)</t>
  </si>
  <si>
    <t xml:space="preserve">$364</t>
  </si>
  <si>
    <t xml:space="preserve">Equals $364 (truck access)</t>
  </si>
  <si>
    <t xml:space="preserve">Topsoil &amp; Seed (no modifier — materials)</t>
  </si>
  <si>
    <t xml:space="preserve">Per topsoil rate</t>
  </si>
  <si>
    <t xml:space="preserve">~$100</t>
  </si>
  <si>
    <t xml:space="preserve">$13,078</t>
  </si>
  <si>
    <t xml:space="preserve">The 2.0x modifier applies to the WORK portion ($6,000 → $12,000), adding $6,000 to the job. Stump grinding and haul-away are NOT multiplied because they don't occur over the hazard. This is the most common hazard-modifier scenario — residential removals over the house.</t>
  </si>
  <si>
    <t xml:space="preserve">Example 10 — Trim over high power lines</t>
  </si>
  <si>
    <t xml:space="preserve">Mature silver maple along the street, growing into the primary distribution lines. Customer wants clearance pruning to give the lines 4 feet of clearance. RG&amp;E will NOT de-energize for routine clearance work. Line-clearance qualified climber required. Bucket truck + LCQ climber + 1 ground worker + chip truck, 3 hours.</t>
  </si>
  <si>
    <t xml:space="preserve">Bucket Truck (3hr × $250)</t>
  </si>
  <si>
    <t xml:space="preserve">3 × $250 = $750</t>
  </si>
  <si>
    <t xml:space="preserve">$750</t>
  </si>
  <si>
    <t xml:space="preserve">Climber LCQ (3hr × $250)</t>
  </si>
  <si>
    <t xml:space="preserve">3 × $250 = $750 (LCQ qualified, same rate)</t>
  </si>
  <si>
    <t xml:space="preserve">Ground Worker (3hr × $125)</t>
  </si>
  <si>
    <t xml:space="preserve">3 × $125 = $375</t>
  </si>
  <si>
    <t xml:space="preserve">$375</t>
  </si>
  <si>
    <t xml:space="preserve">Chip Truck (3hr × $250)</t>
  </si>
  <si>
    <t xml:space="preserve">$2,625</t>
  </si>
  <si>
    <t xml:space="preserve">× 3.0</t>
  </si>
  <si>
    <t xml:space="preserve">$2,625 × 3.0 = $7,875</t>
  </si>
  <si>
    <t xml:space="preserve">$7,875</t>
  </si>
  <si>
    <t xml:space="preserve">Logs Hauled (small load)</t>
  </si>
  <si>
    <t xml:space="preserve">$8,125</t>
  </si>
  <si>
    <t xml:space="preserve">The 3.0x modifier doubles the difference vs the 2.0x obstacle modifier. Reasons: ANSI Z133 line-clearance certification requirement, slower controlled-cut technique, no margin for error on conductor contact. Note that even on this expensive job, $8,125 is appropriate — utility line-clearance pricing in the commercial market is typically $2,000–$3,500 per hour of work in the line.</t>
  </si>
  <si>
    <t xml:space="preserve">Example 11 — Tree over BOTH house and high lines (composition)</t>
  </si>
  <si>
    <t xml:space="preserve">Hypothetical edge case: a 70-foot dying ash tree whose canopy hangs over both the customer's house AND the primary distribution lines on the street. Complex removal: bucket truck + LCQ climber + 2 ground workers + chip truck, 8 hours. Utility de-energizes lines for a 4-hour window.</t>
  </si>
  <si>
    <t xml:space="preserve">Bucket Truck (8hr × $250)</t>
  </si>
  <si>
    <t xml:space="preserve">8 × $250 = $2,000</t>
  </si>
  <si>
    <t xml:space="preserve">$2,000</t>
  </si>
  <si>
    <t xml:space="preserve">Climber LCQ (8hr × $250)</t>
  </si>
  <si>
    <t xml:space="preserve">Ground Worker × 2 (8hr × $125)</t>
  </si>
  <si>
    <t xml:space="preserve">2 × 8 × $125 = $2,000</t>
  </si>
  <si>
    <t xml:space="preserve">Chip Truck (8hr × $250)</t>
  </si>
  <si>
    <t xml:space="preserve">$8,000</t>
  </si>
  <si>
    <t xml:space="preserve">Hazard Modifier — TAKE HIGHEST</t>
  </si>
  <si>
    <t xml:space="preserve">Over obstacle 2.0x AND Over high power 3.0x → use 3.0x (do NOT stack)</t>
  </si>
  <si>
    <t xml:space="preserve">$8,000 × 3.0 = $24,000</t>
  </si>
  <si>
    <t xml:space="preserve">$24,000</t>
  </si>
  <si>
    <t xml:space="preserve">Logs Hauled</t>
  </si>
  <si>
    <t xml:space="preserve">Multiple loads, estimate $500</t>
  </si>
  <si>
    <t xml:space="preserve">Stump Grinding — Primary (32")</t>
  </si>
  <si>
    <t xml:space="preserve">$100 + $11 × (32 − 12) = $320</t>
  </si>
  <si>
    <t xml:space="preserve">$320</t>
  </si>
  <si>
    <t xml:space="preserve">$320 (truck access at ground level)</t>
  </si>
  <si>
    <t xml:space="preserve">$25,140</t>
  </si>
  <si>
    <t xml:space="preserve">CRITICAL composition rule: both modifiers apply but we take the HIGHEST (3.0x), not stack (which would be 6.0x = $48,000 and would be punitive). The 3.0x already reflects the worst-case scenario. Verify with the customer that utility coordination is in their understanding — they may want to coordinate the de-energization themselves to save the scheduling time.</t>
  </si>
  <si>
    <t xml:space="preserve">Glossary — Industry Terms</t>
  </si>
  <si>
    <t xml:space="preserve">Terms a homeowner, worker, or AI assistant might need to clarify.</t>
  </si>
  <si>
    <t xml:space="preserve">Term</t>
  </si>
  <si>
    <t xml:space="preserve">Plain-English Meaning</t>
  </si>
  <si>
    <t xml:space="preserve">Stump Diameter</t>
  </si>
  <si>
    <t xml:space="preserve">Measured at the AVERAGE diameter of the root flare at ground level. The root flare is the wider base where the trunk transitions to roots. NOT the diameter of the cut surface on top.</t>
  </si>
  <si>
    <t xml:space="preserve">Root Flare</t>
  </si>
  <si>
    <t xml:space="preserve">The wider base of a tree where the trunk meets the roots. This is what actually has to be ground out, not just the visible trunk.</t>
  </si>
  <si>
    <t xml:space="preserve">Grind Depth</t>
  </si>
  <si>
    <t xml:space="preserve">How deep below grade we grind the stump. Standard is 4–6" below ground level. Deeper grinds (8–12") are needed for replanting in the same spot.</t>
  </si>
  <si>
    <t xml:space="preserve">Grindings</t>
  </si>
  <si>
    <t xml:space="preserve">The mulch-like wood chips produced by the stump grinder. By default these stay on site and fill the hole. Customer can pay to have them hauled away.</t>
  </si>
  <si>
    <t xml:space="preserve">Below Grade</t>
  </si>
  <si>
    <t xml:space="preserve">Below ground level. "Grind 6 inches below grade" means the top of the remaining stump material is 6 inches below the surrounding ground surface.</t>
  </si>
  <si>
    <t xml:space="preserve">Primary Stump</t>
  </si>
  <si>
    <t xml:space="preserve">On any multi-stump job, the single largest stump. Priced with the full mobilization charge ($100 minimum).</t>
  </si>
  <si>
    <t xml:space="preserve">Add-on Stump</t>
  </si>
  <si>
    <t xml:space="preserve">Any stump on the same job other than the primary stump. Priced at the discounted add-on rate ($25 minimum).</t>
  </si>
  <si>
    <t xml:space="preserve">Mobilization</t>
  </si>
  <si>
    <t xml:space="preserve">The cost of getting the crew, truck, and equipment to the job site. Built into the primary stump minimum.</t>
  </si>
  <si>
    <t xml:space="preserve">Backfill</t>
  </si>
  <si>
    <t xml:space="preserve">Filling the stump hole back to grade after grinding. Two options: leave grindings + topsoil cap, or haul grindings and full topsoil backfill.</t>
  </si>
  <si>
    <t xml:space="preserve">Topsoil Cap</t>
  </si>
  <si>
    <t xml:space="preserve">A 3-inch layer of topsoil placed over the grindings to support seeding. Cheaper option, slight settling expected.</t>
  </si>
  <si>
    <t xml:space="preserve">Full Backfill</t>
  </si>
  <si>
    <t xml:space="preserve">Grindings hauled away, hole filled to grade with topsoil. More expensive, less settling, better for replanting.</t>
  </si>
  <si>
    <t xml:space="preserve">Surface Roots</t>
  </si>
  <si>
    <t xml:space="preserve">Visible roots extending outward from the stump along the ground. Can be ground for an extra charge — not included in standard stump grinding.</t>
  </si>
  <si>
    <t xml:space="preserve">EHS Cable</t>
  </si>
  <si>
    <t xml:space="preserve">Extra High Strength static cable used to support tree limbs per ANSI A300 Part 3 standards.</t>
  </si>
  <si>
    <t xml:space="preserve">COBRA System</t>
  </si>
  <si>
    <t xml:space="preserve">A dynamic (non-rigid) tree support system that allows natural movement while preventing failure. Per ANSI A300 Part 3.</t>
  </si>
  <si>
    <t xml:space="preserve">PHC</t>
  </si>
  <si>
    <t xml:space="preserve">Plant Health Care — proactive arboriculture services including cabling, fertilization, and pest management.</t>
  </si>
  <si>
    <t xml:space="preserve">ANSI A300</t>
  </si>
  <si>
    <t xml:space="preserve">American National Standards Institute standards for tree care operations. Part 3 covers tree support systems.</t>
  </si>
  <si>
    <t xml:space="preserve">ANSI Z133</t>
  </si>
  <si>
    <t xml:space="preserve">Safety standard for arboricultural operations — required for climbing and aerial work.</t>
  </si>
  <si>
    <t xml:space="preserve">Jobber</t>
  </si>
  <si>
    <t xml:space="preserve">Spartan's job management software where estimates, schedules, and invoices live.</t>
  </si>
  <si>
    <t xml:space="preserve">Union</t>
  </si>
  <si>
    <t xml:space="preserve">The point where a limb attaches to the trunk (or where two leads diverge from each other). The thickest point of a limb. Used as the measurement reference for the Limb-as-Tree rule.</t>
  </si>
  <si>
    <t xml:space="preserve">Lead</t>
  </si>
  <si>
    <t xml:space="preserve">A major limb growing off the main trunk, often nearly as significant as the trunk itself. Co-dominant trees have multiple leads competing as primary growth.</t>
  </si>
  <si>
    <t xml:space="preserve">Co-dominant Stem</t>
  </si>
  <si>
    <t xml:space="preserve">Two or more leads growing from the same union, each acting as a primary stem. Often a structural weak point that requires cabling or selective reduction.</t>
  </si>
  <si>
    <t xml:space="preserve">DBH</t>
  </si>
  <si>
    <t xml:space="preserve">Diameter at Breast Height — standard arborist measurement of trunk diameter taken at 4.5 feet above ground. Used in tree assessment but the Spartan tree removal floor uses HEIGHT, not DBH.</t>
  </si>
  <si>
    <t xml:space="preserve">Crown Reduction</t>
  </si>
  <si>
    <t xml:space="preserve">Selectively shortening branches to reduce the overall size of the canopy. Different from topping (which is unprofessional). Reduction cuts go back to a lateral branch.</t>
  </si>
  <si>
    <t xml:space="preserve">Crown Thinning</t>
  </si>
  <si>
    <t xml:space="preserve">Selective removal of branches throughout the canopy to reduce density without reducing overall size. Improves light penetration and reduces wind sail.</t>
  </si>
  <si>
    <t xml:space="preserve">Hourly Buildup</t>
  </si>
  <si>
    <t xml:space="preserve">Spartan's pricing approach for tree removal and trimming: sum the hourly rates of all equipment and labor on the job. The final price is hourly buildup + minimums + haul-away + any applicable floors.</t>
  </si>
  <si>
    <t xml:space="preserve">Floor (pricing)</t>
  </si>
  <si>
    <t xml:space="preserve">A minimum price below which Spartan will not quote a job. For tree removal, the floor is $10 per foot of tree height. The actual price is usually well above the floor.</t>
  </si>
  <si>
    <t xml:space="preserve">Service Drop</t>
  </si>
  <si>
    <t xml:space="preserve">The lower-voltage power line that runs from the utility pole TO the building's weatherhead. Typically ~240V. Owned by the utility up to the weatherhead, then becomes the homeowner's responsibility. Triggers the 2.0x house-power modifier.</t>
  </si>
  <si>
    <t xml:space="preserve">Primary Distribution</t>
  </si>
  <si>
    <t xml:space="preserve">High-voltage power lines (typically 7.2kV+) running pole-to-pole along the street. The bare or minimally insulated wires on TOP of utility poles. Often three-phase. Triggers the 3.0x high-power modifier and requires line-clearance qualified workers.</t>
  </si>
  <si>
    <t xml:space="preserve">Weatherhead</t>
  </si>
  <si>
    <t xml:space="preserve">The mast/fitting at the top of a building where the service drop enters. The boundary between the utility company's wiring and the customer's wiring.</t>
  </si>
  <si>
    <t xml:space="preserve">Three-phase</t>
  </si>
  <si>
    <t xml:space="preserve">Power distribution using three conductors carrying different phases of alternating current. Common configuration on primary distribution lines. Visible as three separate wires running parallel along the top of utility poles.</t>
  </si>
  <si>
    <t xml:space="preserve">LCQ (Line-Clearance Qualified)</t>
  </si>
  <si>
    <t xml:space="preserve">A certification per ANSI Z133 allowing workers to operate within the minimum approach distance of energized high-voltage conductors. Required for work over primary distribution lines that are not de-energized.</t>
  </si>
  <si>
    <t xml:space="preserve">De-energization</t>
  </si>
  <si>
    <t xml:space="preserve">Utility-initiated shutdown of a section of power line for safe work. Requested through the utility company (e.g., RG&amp;E in Rochester). Can take days to schedule and may have an associated cost or scheduling window.</t>
  </si>
  <si>
    <t xml:space="preserve">Hazard Modifier</t>
  </si>
  <si>
    <t xml:space="preserve">A multiplier applied to the work portion of a job when working over obstacles or power lines. Spartan's tiers: 2.0x for obstacles, 2.0x for house power lines, 3.0x for high power lines. Highest modifier wins — they do not stack.</t>
  </si>
  <si>
    <t xml:space="preserve">Work Portion</t>
  </si>
  <si>
    <t xml:space="preserve">The labor and equipment-hours portion of a job — what gets multiplied by hazard modifiers. Excludes materials, haul-away, stump work, and trip charges.</t>
  </si>
  <si>
    <t xml:space="preserve">Cutting a tree down with NO removal or haul-away. Customer takes the wood or it's a forestry situation. Priced flat-tiered by cutting method.</t>
  </si>
  <si>
    <t xml:space="preserve">Wedge</t>
  </si>
  <si>
    <t xml:space="preserve">A plastic or metal wedge driven into the back cut of a felling cut to steer the tree's fall direction against natural lean.</t>
  </si>
  <si>
    <t xml:space="preserve">Pull Rope</t>
  </si>
  <si>
    <t xml:space="preserve">A rope attached high in the tree, pulled by hand or vehicle to direct the fall away from natural lean.</t>
  </si>
  <si>
    <t xml:space="preserve">Pulley / Redirect</t>
  </si>
  <si>
    <t xml:space="preserve">A pulley or block anchored to another tree, used to route a pull rope so the pulling force can come from a different direction than the desired fall direction.</t>
  </si>
  <si>
    <t xml:space="preserve">Felling</t>
  </si>
  <si>
    <t xml:space="preserve">Cutting down a standing tree as a single piece — face cut, back cut, hinge wood. The traditional 'timber!' method.</t>
  </si>
  <si>
    <t xml:space="preserve">Face Cut</t>
  </si>
  <si>
    <t xml:space="preserve">The notch cut on the side of the tree facing the desired fall direction. Together with the back cut, creates the hinge that controls the fall.</t>
  </si>
  <si>
    <t xml:space="preserve">Hinge Wood</t>
  </si>
  <si>
    <t xml:space="preserve">The strip of uncut wood between the face cut and back cut. Acts as a hinge to control the falling tree's direction.</t>
  </si>
  <si>
    <t xml:space="preserve">Plunge Cut</t>
  </si>
  <si>
    <t xml:space="preserve">A boring cut made by pushing the saw bar tip into the tree, used in advanced felling techniques like bore-cut felling on larger trees.</t>
  </si>
  <si>
    <t xml:space="preserve">Rigging (in tree work)</t>
  </si>
  <si>
    <t xml:space="preserve">The use of ropes, blocks, and friction devices to control the descent of cut pieces. Distinguished from felling, where the whole tree drops freely.</t>
  </si>
  <si>
    <t xml:space="preserve">Speedline</t>
  </si>
  <si>
    <t xml:space="preserve">A taut horizontal rope used to transport cut pieces from the tree to a drop zone, used in complex rigging situations.</t>
  </si>
  <si>
    <t xml:space="preserve">Friction Device</t>
  </si>
  <si>
    <t xml:space="preserve">A bollard, Port-A-Wrap, or other device that applies controllable friction to a rigging line, allowing pieces to be lowered slowly under control.</t>
  </si>
  <si>
    <t xml:space="preserve">Two or more leads (major stems) growing from the same union, each acting as a primary stem. Tree pricing treats each codominant lead as essentially its own tree.</t>
  </si>
  <si>
    <t xml:space="preserve">Secondary Lead</t>
  </si>
  <si>
    <t xml:space="preserve">A major limb on a tree, not the primary trunk but significant enough to be a structural part of the canopy.</t>
  </si>
  <si>
    <t xml:space="preserve">Tertiary Lead</t>
  </si>
  <si>
    <t xml:space="preserve">A smaller major limb branching off a secondary lead. Still potentially substantial.</t>
  </si>
  <si>
    <t xml:space="preserve">DBH (Diameter at Breast Height)</t>
  </si>
  <si>
    <t xml:space="preserve">Standard arborist measurement of trunk diameter taken at 4.5 feet above ground. Used in Spartan's pricing for the $50/inch floor rule.</t>
  </si>
  <si>
    <t xml:space="preserve">Higher Lifeline Set</t>
  </si>
  <si>
    <t xml:space="preserve">When a climber must advance their lifeline higher in the tree (set a new tie-in point) before climbing out to perform a cut. Adds setup time before the cut itself.</t>
  </si>
  <si>
    <t xml:space="preserve">Lifeline (Climbing)</t>
  </si>
  <si>
    <t xml:space="preserve">The primary support line a tree worker is attached to during aerial work, anchored at a tie-in point (TIP) above the worker.</t>
  </si>
  <si>
    <t xml:space="preserve">The height above ground where the actual work is being performed (where the cut is made, the limb is removed, etc.) — not necessarily the total tree height.</t>
  </si>
  <si>
    <t xml:space="preserve">A truckload of logs ready for haul-away. Spartan's dump trailer holds 14 cubic yards stacked; a log truck holds 60 cubic yards.</t>
  </si>
  <si>
    <t xml:space="preserve">Half Load</t>
  </si>
  <si>
    <t xml:space="preserve">Half of a full dump trailer load (~7 cubic yards). Customers leaving a half load of logs get $150 off.</t>
  </si>
  <si>
    <t xml:space="preserve">Log Truck Disposal</t>
  </si>
  <si>
    <t xml:space="preserve">Hauling logs via a 60-yard log truck for disposal. Used when there are more than 2 loads of logs. $500 per 60-yard load.</t>
  </si>
  <si>
    <t xml:space="preserve">Leave All</t>
  </si>
  <si>
    <t xml:space="preserve">Customer agrees to leave materials on site instead of having them hauled away. 25-75% discount range based on how much is being left.</t>
  </si>
  <si>
    <t xml:space="preserve">Climbing plant whose oil causes severe contact dermatitis. Spartan adds 50% to any job where poison ivy is present in the work zone.</t>
  </si>
</sst>
</file>

<file path=xl/styles.xml><?xml version="1.0" encoding="utf-8"?>
<styleSheet xmlns="http://schemas.openxmlformats.org/spreadsheetml/2006/main">
  <numFmts count="6">
    <numFmt numFmtId="164" formatCode="General"/>
    <numFmt numFmtId="165" formatCode="0.0"/>
    <numFmt numFmtId="166" formatCode="\$#,##0"/>
    <numFmt numFmtId="167" formatCode="0"/>
    <numFmt numFmtId="168" formatCode="0.00"/>
    <numFmt numFmtId="169" formatCode="0.000"/>
  </numFmts>
  <fonts count="2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C00000"/>
      <name val="Arial"/>
      <family val="0"/>
      <charset val="1"/>
    </font>
    <font>
      <b val="true"/>
      <sz val="10"/>
      <color rgb="FF0070C0"/>
      <name val="Arial"/>
      <family val="0"/>
      <charset val="1"/>
    </font>
    <font>
      <sz val="10"/>
      <name val="Consolas"/>
      <family val="0"/>
      <charset val="1"/>
    </font>
    <font>
      <b val="true"/>
      <sz val="11"/>
      <name val="Arial"/>
      <family val="0"/>
      <charset val="1"/>
    </font>
    <font>
      <b val="true"/>
      <sz val="11"/>
      <color rgb="FFC00000"/>
      <name val="Arial"/>
      <family val="0"/>
      <charset val="1"/>
    </font>
    <font>
      <b val="true"/>
      <sz val="11"/>
      <color rgb="FF0000FF"/>
      <name val="Arial"/>
      <family val="0"/>
      <charset val="1"/>
    </font>
    <font>
      <b val="true"/>
      <sz val="12"/>
      <color rgb="FFC00000"/>
      <name val="Arial"/>
      <family val="0"/>
      <charset val="1"/>
    </font>
    <font>
      <b val="true"/>
      <sz val="10"/>
      <color rgb="FF0000FF"/>
      <name val="Arial"/>
      <family val="0"/>
      <charset val="1"/>
    </font>
    <font>
      <b val="true"/>
      <sz val="12"/>
      <color rgb="FF1F4E78"/>
      <name val="Arial"/>
      <family val="0"/>
      <charset val="1"/>
    </font>
    <font>
      <b val="true"/>
      <i val="true"/>
      <sz val="10"/>
      <name val="Arial"/>
      <family val="0"/>
      <charset val="1"/>
    </font>
    <font>
      <i val="true"/>
      <sz val="10"/>
      <name val="Arial"/>
      <family val="0"/>
      <charset val="1"/>
    </font>
  </fonts>
  <fills count="12">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FFE2EFDA"/>
        <bgColor rgb="FFDDEBF7"/>
      </patternFill>
    </fill>
    <fill>
      <patternFill patternType="solid">
        <fgColor rgb="FFDDEBF7"/>
        <bgColor rgb="FFD9E1F2"/>
      </patternFill>
    </fill>
    <fill>
      <patternFill patternType="solid">
        <fgColor rgb="FFD9E1F2"/>
        <bgColor rgb="FFDDEBF7"/>
      </patternFill>
    </fill>
    <fill>
      <patternFill patternType="solid">
        <fgColor rgb="FFC6E0B4"/>
        <bgColor rgb="FFE2EFDA"/>
      </patternFill>
    </fill>
    <fill>
      <patternFill patternType="solid">
        <fgColor rgb="FFFFFFFF"/>
        <bgColor rgb="FFFFF2CC"/>
      </patternFill>
    </fill>
    <fill>
      <patternFill patternType="solid">
        <fgColor rgb="FFF4B084"/>
        <bgColor rgb="FFF8CBAD"/>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8"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6" fontId="12" fillId="9"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6" fontId="7" fillId="9" borderId="1" xfId="0" applyFont="true" applyBorder="true" applyAlignment="true" applyProtection="false">
      <alignment horizontal="center"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12" fillId="3"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left" vertical="top" textRotation="0" wrapText="true" indent="0" shrinkToFit="false"/>
      <protection locked="true" hidden="false"/>
    </xf>
    <xf numFmtId="166" fontId="15" fillId="9"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6" fontId="14" fillId="0" borderId="0" xfId="0" applyFont="true" applyBorder="false" applyAlignment="true" applyProtection="false">
      <alignment horizontal="center" vertical="center" textRotation="0" wrapText="true" indent="0" shrinkToFit="false"/>
      <protection locked="true" hidden="false"/>
    </xf>
    <xf numFmtId="168" fontId="14" fillId="0" borderId="0" xfId="0" applyFont="true" applyBorder="fals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70C0"/>
      <rgbColor rgb="FFD9E1F2"/>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4B084"/>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90"/>
    <col collapsed="false" customWidth="true" hidden="false" outlineLevel="0" max="5" min="3" style="1" width="15"/>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45" hidden="false" customHeight="true" outlineLevel="0" collapsed="false">
      <c r="A5" s="5" t="s">
        <v>3</v>
      </c>
      <c r="B5" s="5"/>
      <c r="C5" s="5"/>
      <c r="D5" s="5"/>
      <c r="E5" s="5"/>
    </row>
    <row r="7" customFormat="false" ht="15" hidden="false" customHeight="true" outlineLevel="0" collapsed="false">
      <c r="A7" s="4" t="s">
        <v>4</v>
      </c>
    </row>
    <row r="8" customFormat="false" ht="21.75" hidden="false" customHeight="true" outlineLevel="0" collapsed="false">
      <c r="A8" s="6" t="s">
        <v>5</v>
      </c>
      <c r="B8" s="6" t="s">
        <v>6</v>
      </c>
    </row>
    <row r="9" customFormat="false" ht="15" hidden="false" customHeight="true" outlineLevel="0" collapsed="false">
      <c r="A9" s="7" t="s">
        <v>7</v>
      </c>
      <c r="B9" s="7" t="s">
        <v>8</v>
      </c>
    </row>
    <row r="10" customFormat="false" ht="23.25" hidden="false" customHeight="true" outlineLevel="0" collapsed="false">
      <c r="A10" s="7" t="s">
        <v>9</v>
      </c>
      <c r="B10" s="7" t="s">
        <v>10</v>
      </c>
    </row>
    <row r="11" customFormat="false" ht="23.25" hidden="false" customHeight="true" outlineLevel="0" collapsed="false">
      <c r="A11" s="7" t="s">
        <v>11</v>
      </c>
      <c r="B11" s="7" t="s">
        <v>12</v>
      </c>
    </row>
    <row r="12" customFormat="false" ht="23.25" hidden="false" customHeight="true" outlineLevel="0" collapsed="false">
      <c r="A12" s="7" t="s">
        <v>13</v>
      </c>
      <c r="B12" s="7" t="s">
        <v>14</v>
      </c>
    </row>
    <row r="13" customFormat="false" ht="31.5" hidden="false" customHeight="true" outlineLevel="0" collapsed="false">
      <c r="A13" s="7" t="s">
        <v>15</v>
      </c>
      <c r="B13" s="7" t="s">
        <v>16</v>
      </c>
    </row>
    <row r="14" customFormat="false" ht="37.5" hidden="false" customHeight="true" outlineLevel="0" collapsed="false">
      <c r="A14" s="7" t="s">
        <v>17</v>
      </c>
      <c r="B14" s="7" t="s">
        <v>18</v>
      </c>
    </row>
    <row r="15" customFormat="false" ht="37.5" hidden="false" customHeight="true" outlineLevel="0" collapsed="false">
      <c r="A15" s="7" t="s">
        <v>19</v>
      </c>
      <c r="B15" s="7" t="s">
        <v>20</v>
      </c>
    </row>
    <row r="16" customFormat="false" ht="37.5" hidden="false" customHeight="true" outlineLevel="0" collapsed="false">
      <c r="A16" s="7" t="s">
        <v>21</v>
      </c>
      <c r="B16" s="7" t="s">
        <v>22</v>
      </c>
    </row>
    <row r="17" customFormat="false" ht="37.5" hidden="false" customHeight="true" outlineLevel="0" collapsed="false">
      <c r="A17" s="7" t="s">
        <v>23</v>
      </c>
      <c r="B17" s="7" t="s">
        <v>24</v>
      </c>
    </row>
    <row r="18" customFormat="false" ht="15" hidden="false" customHeight="true" outlineLevel="0" collapsed="false">
      <c r="A18" s="7" t="s">
        <v>25</v>
      </c>
      <c r="B18" s="7" t="s">
        <v>26</v>
      </c>
    </row>
    <row r="19" customFormat="false" ht="30" hidden="false" customHeight="true" outlineLevel="0" collapsed="false">
      <c r="A19" s="8" t="s">
        <v>27</v>
      </c>
      <c r="B19" s="8"/>
      <c r="C19" s="8"/>
      <c r="D19" s="8"/>
      <c r="E19" s="8"/>
    </row>
    <row r="20" customFormat="false" ht="30" hidden="false" customHeight="true" outlineLevel="0" collapsed="false">
      <c r="A20" s="8" t="s">
        <v>28</v>
      </c>
      <c r="B20" s="8"/>
      <c r="C20" s="8"/>
      <c r="D20" s="8"/>
      <c r="E20" s="8"/>
    </row>
    <row r="21" customFormat="false" ht="30" hidden="false" customHeight="true" outlineLevel="0" collapsed="false">
      <c r="A21" s="8" t="s">
        <v>29</v>
      </c>
      <c r="B21" s="8"/>
      <c r="C21" s="8"/>
      <c r="D21" s="8"/>
      <c r="E21" s="8"/>
    </row>
    <row r="22" customFormat="false" ht="30" hidden="false" customHeight="true" outlineLevel="0" collapsed="false">
      <c r="A22" s="9"/>
      <c r="B22" s="9"/>
      <c r="C22" s="9"/>
      <c r="D22" s="9"/>
      <c r="E22" s="9"/>
    </row>
    <row r="23" customFormat="false" ht="30" hidden="false" customHeight="true" outlineLevel="0" collapsed="false">
      <c r="A23" s="9"/>
      <c r="B23" s="9"/>
      <c r="C23" s="9"/>
      <c r="D23" s="9"/>
      <c r="E23" s="9"/>
    </row>
    <row r="24" customFormat="false" ht="30" hidden="false" customHeight="true" outlineLevel="0" collapsed="false">
      <c r="A24" s="10" t="s">
        <v>30</v>
      </c>
      <c r="B24" s="10"/>
      <c r="C24" s="10"/>
      <c r="D24" s="10"/>
      <c r="E24" s="10"/>
    </row>
    <row r="25" customFormat="false" ht="30" hidden="false" customHeight="true" outlineLevel="0" collapsed="false">
      <c r="A25" s="5" t="s">
        <v>31</v>
      </c>
      <c r="B25" s="5"/>
      <c r="C25" s="5"/>
      <c r="D25" s="5"/>
      <c r="E25" s="5"/>
    </row>
    <row r="26" customFormat="false" ht="30" hidden="false" customHeight="true" outlineLevel="0" collapsed="false">
      <c r="A26" s="5" t="s">
        <v>32</v>
      </c>
      <c r="B26" s="5"/>
      <c r="C26" s="5"/>
      <c r="D26" s="5"/>
      <c r="E26" s="5"/>
    </row>
    <row r="27" customFormat="false" ht="30" hidden="false" customHeight="true" outlineLevel="0" collapsed="false">
      <c r="A27" s="5" t="s">
        <v>33</v>
      </c>
      <c r="B27" s="5"/>
      <c r="C27" s="5"/>
      <c r="D27" s="5"/>
      <c r="E27" s="5"/>
    </row>
    <row r="28" customFormat="false" ht="30" hidden="false" customHeight="true" outlineLevel="0" collapsed="false">
      <c r="A28" s="5" t="s">
        <v>34</v>
      </c>
      <c r="B28" s="5"/>
      <c r="C28" s="5"/>
      <c r="D28" s="5"/>
      <c r="E28" s="5"/>
    </row>
    <row r="29" customFormat="false" ht="39.75" hidden="false" customHeight="true" outlineLevel="0" collapsed="false">
      <c r="A29" s="5" t="s">
        <v>35</v>
      </c>
      <c r="B29" s="5"/>
      <c r="C29" s="5"/>
      <c r="D29" s="5"/>
      <c r="E29" s="5"/>
    </row>
    <row r="30" customFormat="false" ht="39.75" hidden="false" customHeight="true" outlineLevel="0" collapsed="false">
      <c r="A30" s="5" t="s">
        <v>36</v>
      </c>
      <c r="B30" s="5"/>
      <c r="C30" s="5"/>
      <c r="D30" s="5"/>
      <c r="E30" s="5"/>
    </row>
    <row r="31" customFormat="false" ht="39.75" hidden="false" customHeight="true" outlineLevel="0" collapsed="false">
      <c r="A31" s="5" t="s">
        <v>37</v>
      </c>
      <c r="B31" s="5"/>
      <c r="C31" s="5"/>
      <c r="D31" s="5"/>
      <c r="E31" s="5"/>
    </row>
    <row r="32" customFormat="false" ht="124.5" hidden="false" customHeight="true" outlineLevel="0" collapsed="false">
      <c r="A32" s="11" t="s">
        <v>38</v>
      </c>
    </row>
    <row r="33" customFormat="false" ht="124.5" hidden="false" customHeight="true" outlineLevel="0" collapsed="false">
      <c r="A33" s="11" t="s">
        <v>39</v>
      </c>
    </row>
    <row r="34" customFormat="false" ht="49.5" hidden="false" customHeight="true" outlineLevel="0" collapsed="false">
      <c r="A34" s="5" t="s">
        <v>40</v>
      </c>
      <c r="B34" s="5"/>
      <c r="C34" s="5"/>
      <c r="D34" s="5"/>
      <c r="E34" s="5"/>
    </row>
    <row r="35" customFormat="false" ht="49.5" hidden="false" customHeight="true" outlineLevel="0" collapsed="false">
      <c r="A35" s="5" t="s">
        <v>41</v>
      </c>
      <c r="B35" s="5"/>
      <c r="C35" s="5"/>
      <c r="D35" s="5"/>
      <c r="E35" s="5"/>
    </row>
    <row r="36" customFormat="false" ht="49.5" hidden="false" customHeight="true" outlineLevel="0" collapsed="false">
      <c r="A36" s="5" t="s">
        <v>42</v>
      </c>
      <c r="B36" s="5"/>
      <c r="C36" s="5"/>
      <c r="D36" s="5"/>
      <c r="E36" s="5"/>
    </row>
    <row r="37" customFormat="false" ht="49.5" hidden="false" customHeight="true" outlineLevel="0" collapsed="false">
      <c r="A37" s="5" t="s">
        <v>43</v>
      </c>
      <c r="B37" s="5"/>
      <c r="C37" s="5"/>
      <c r="D37" s="5"/>
      <c r="E37" s="5"/>
    </row>
    <row r="38" customFormat="false" ht="147" hidden="false" customHeight="true" outlineLevel="0" collapsed="false">
      <c r="A38" s="11" t="s">
        <v>44</v>
      </c>
    </row>
    <row r="39" customFormat="false" ht="79.5" hidden="false" customHeight="true" outlineLevel="0" collapsed="false">
      <c r="A39" s="11" t="s">
        <v>45</v>
      </c>
    </row>
    <row r="40" customFormat="false" ht="147" hidden="false" customHeight="true" outlineLevel="0" collapsed="false">
      <c r="A40" s="11" t="s">
        <v>46</v>
      </c>
    </row>
    <row r="41" customFormat="false" ht="147" hidden="false" customHeight="true" outlineLevel="0" collapsed="false">
      <c r="A41" s="11" t="s">
        <v>47</v>
      </c>
    </row>
    <row r="42" customFormat="false" ht="54.75" hidden="false" customHeight="true" outlineLevel="0" collapsed="false">
      <c r="A42" s="5" t="s">
        <v>48</v>
      </c>
      <c r="B42" s="5"/>
      <c r="C42" s="5"/>
      <c r="D42" s="5"/>
      <c r="E42" s="5"/>
    </row>
    <row r="43" customFormat="false" ht="54.75" hidden="false" customHeight="true" outlineLevel="0" collapsed="false">
      <c r="A43" s="5" t="s">
        <v>49</v>
      </c>
      <c r="B43" s="5"/>
      <c r="C43" s="5"/>
      <c r="D43" s="5"/>
      <c r="E43" s="5"/>
    </row>
    <row r="44" customFormat="false" ht="54.75" hidden="false" customHeight="true" outlineLevel="0" collapsed="false">
      <c r="A44" s="5" t="s">
        <v>50</v>
      </c>
      <c r="B44" s="5"/>
      <c r="C44" s="5"/>
      <c r="D44" s="5"/>
      <c r="E44" s="5"/>
    </row>
    <row r="45" customFormat="false" ht="54.75" hidden="false" customHeight="true" outlineLevel="0" collapsed="false">
      <c r="A45" s="5" t="s">
        <v>51</v>
      </c>
      <c r="B45" s="5"/>
      <c r="C45" s="5"/>
      <c r="D45" s="5"/>
      <c r="E45" s="5"/>
    </row>
    <row r="46" customFormat="false" ht="54.75" hidden="false" customHeight="true" outlineLevel="0" collapsed="false">
      <c r="A46" s="5" t="s">
        <v>52</v>
      </c>
      <c r="B46" s="5"/>
      <c r="C46" s="5"/>
      <c r="D46" s="5"/>
      <c r="E46" s="5"/>
    </row>
    <row r="47" customFormat="false" ht="54.75" hidden="false" customHeight="true" outlineLevel="0" collapsed="false">
      <c r="A47" s="5" t="s">
        <v>53</v>
      </c>
      <c r="B47" s="5"/>
      <c r="C47" s="5"/>
      <c r="D47" s="5"/>
      <c r="E47" s="5"/>
    </row>
    <row r="48" customFormat="false" ht="54.75" hidden="false" customHeight="true" outlineLevel="0" collapsed="false">
      <c r="A48" s="5" t="s">
        <v>54</v>
      </c>
      <c r="B48" s="5"/>
      <c r="C48" s="5"/>
      <c r="D48" s="5"/>
      <c r="E48" s="5"/>
    </row>
  </sheetData>
  <mergeCells count="25">
    <mergeCell ref="A5:E5"/>
    <mergeCell ref="A19:E19"/>
    <mergeCell ref="A20:E20"/>
    <mergeCell ref="A21:E21"/>
    <mergeCell ref="A22:E22"/>
    <mergeCell ref="A23:E23"/>
    <mergeCell ref="A24:E24"/>
    <mergeCell ref="A25:E25"/>
    <mergeCell ref="A26:E26"/>
    <mergeCell ref="A27:E27"/>
    <mergeCell ref="A28:E28"/>
    <mergeCell ref="A29:E29"/>
    <mergeCell ref="A30:E30"/>
    <mergeCell ref="A31:E31"/>
    <mergeCell ref="A34:E34"/>
    <mergeCell ref="A35:E35"/>
    <mergeCell ref="A36:E36"/>
    <mergeCell ref="A37:E37"/>
    <mergeCell ref="A42:E42"/>
    <mergeCell ref="A43:E43"/>
    <mergeCell ref="A44:E44"/>
    <mergeCell ref="A45:E45"/>
    <mergeCell ref="A46:E46"/>
    <mergeCell ref="A47:E47"/>
    <mergeCell ref="A48:E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4" min="2" style="1" width="14"/>
    <col collapsed="false" customWidth="true" hidden="false" outlineLevel="0" max="5" min="5" style="1" width="50"/>
    <col collapsed="false" customWidth="true" hidden="false" outlineLevel="0" max="6" min="6" style="1" width="65"/>
  </cols>
  <sheetData>
    <row r="1" customFormat="false" ht="17.25" hidden="false" customHeight="true" outlineLevel="0" collapsed="false">
      <c r="A1" s="2" t="s">
        <v>55</v>
      </c>
    </row>
    <row r="2" customFormat="false" ht="30" hidden="false" customHeight="true" outlineLevel="0" collapsed="false">
      <c r="A2" s="12" t="s">
        <v>56</v>
      </c>
      <c r="B2" s="12"/>
      <c r="C2" s="12"/>
      <c r="D2" s="12"/>
      <c r="E2" s="12"/>
      <c r="F2" s="12"/>
    </row>
    <row r="4" customFormat="false" ht="21.75" hidden="false" customHeight="true" outlineLevel="0" collapsed="false">
      <c r="A4" s="6" t="s">
        <v>57</v>
      </c>
      <c r="B4" s="6" t="s">
        <v>58</v>
      </c>
      <c r="C4" s="6" t="s">
        <v>59</v>
      </c>
      <c r="D4" s="6" t="s">
        <v>60</v>
      </c>
      <c r="E4" s="6" t="s">
        <v>61</v>
      </c>
      <c r="F4" s="6" t="s">
        <v>62</v>
      </c>
    </row>
    <row r="5" customFormat="false" ht="30" hidden="false" customHeight="true" outlineLevel="0" collapsed="false">
      <c r="A5" s="7" t="s">
        <v>63</v>
      </c>
      <c r="B5" s="7" t="n">
        <v>1</v>
      </c>
      <c r="C5" s="7" t="s">
        <v>64</v>
      </c>
      <c r="D5" s="7" t="n">
        <v>125</v>
      </c>
      <c r="E5" s="7" t="s">
        <v>65</v>
      </c>
      <c r="F5" s="7" t="s">
        <v>66</v>
      </c>
    </row>
    <row r="6" customFormat="false" ht="30" hidden="false" customHeight="true" outlineLevel="0" collapsed="false">
      <c r="A6" s="7" t="s">
        <v>67</v>
      </c>
      <c r="B6" s="7" t="n">
        <v>1</v>
      </c>
      <c r="C6" s="7" t="s">
        <v>64</v>
      </c>
      <c r="D6" s="7" t="n">
        <v>250</v>
      </c>
      <c r="E6" s="7" t="s">
        <v>68</v>
      </c>
      <c r="F6" s="7" t="s">
        <v>69</v>
      </c>
    </row>
    <row r="7" customFormat="false" ht="30" hidden="false" customHeight="true" outlineLevel="0" collapsed="false">
      <c r="A7" s="7" t="s">
        <v>70</v>
      </c>
      <c r="B7" s="7" t="n">
        <v>2</v>
      </c>
      <c r="C7" s="7" t="s">
        <v>64</v>
      </c>
      <c r="D7" s="7" t="n">
        <v>250</v>
      </c>
      <c r="E7" s="7" t="s">
        <v>71</v>
      </c>
      <c r="F7" s="7" t="s">
        <v>72</v>
      </c>
    </row>
    <row r="8" customFormat="false" ht="30" hidden="false" customHeight="true" outlineLevel="0" collapsed="false">
      <c r="A8" s="7" t="s">
        <v>73</v>
      </c>
      <c r="B8" s="7" t="n">
        <v>1</v>
      </c>
      <c r="C8" s="7" t="s">
        <v>64</v>
      </c>
      <c r="D8" s="7" t="n">
        <v>250</v>
      </c>
      <c r="E8" s="7" t="s">
        <v>74</v>
      </c>
      <c r="F8" s="7" t="s">
        <v>75</v>
      </c>
    </row>
    <row r="9" customFormat="false" ht="30" hidden="false" customHeight="true" outlineLevel="0" collapsed="false">
      <c r="A9" s="7" t="s">
        <v>76</v>
      </c>
      <c r="B9" s="7" t="n">
        <v>8</v>
      </c>
      <c r="C9" s="7" t="s">
        <v>77</v>
      </c>
      <c r="D9" s="7" t="n">
        <v>12.5</v>
      </c>
      <c r="E9" s="7" t="s">
        <v>78</v>
      </c>
      <c r="F9" s="7" t="s">
        <v>79</v>
      </c>
    </row>
    <row r="10" customFormat="false" ht="30" hidden="false" customHeight="true" outlineLevel="0" collapsed="false">
      <c r="A10" s="7" t="s">
        <v>80</v>
      </c>
      <c r="B10" s="7" t="n">
        <v>4</v>
      </c>
      <c r="C10" s="7" t="s">
        <v>64</v>
      </c>
      <c r="D10" s="7" t="n">
        <v>500</v>
      </c>
      <c r="E10" s="7" t="s">
        <v>81</v>
      </c>
      <c r="F10" s="7" t="s">
        <v>82</v>
      </c>
    </row>
    <row r="11" customFormat="false" ht="30" hidden="false" customHeight="true" outlineLevel="0" collapsed="false">
      <c r="A11" s="7" t="s">
        <v>83</v>
      </c>
      <c r="B11" s="7" t="n">
        <v>1</v>
      </c>
      <c r="C11" s="7" t="s">
        <v>64</v>
      </c>
      <c r="D11" s="7" t="n">
        <v>250</v>
      </c>
      <c r="E11" s="7" t="s">
        <v>68</v>
      </c>
      <c r="F11" s="7" t="s">
        <v>84</v>
      </c>
    </row>
    <row r="12" customFormat="false" ht="30" hidden="false" customHeight="true" outlineLevel="0" collapsed="false">
      <c r="A12" s="7" t="s">
        <v>85</v>
      </c>
      <c r="B12" s="7" t="n">
        <v>1</v>
      </c>
      <c r="C12" s="7" t="s">
        <v>86</v>
      </c>
      <c r="D12" s="7" t="n">
        <v>250</v>
      </c>
      <c r="E12" s="7" t="s">
        <v>87</v>
      </c>
      <c r="F12" s="7" t="s">
        <v>88</v>
      </c>
    </row>
    <row r="13" customFormat="false" ht="30" hidden="false" customHeight="true" outlineLevel="0" collapsed="false">
      <c r="A13" s="13" t="s">
        <v>89</v>
      </c>
      <c r="B13" s="13" t="n">
        <v>1</v>
      </c>
      <c r="C13" s="13" t="s">
        <v>64</v>
      </c>
      <c r="D13" s="13" t="n">
        <v>300</v>
      </c>
      <c r="E13" s="13" t="s">
        <v>90</v>
      </c>
      <c r="F13" s="13" t="s">
        <v>91</v>
      </c>
    </row>
    <row r="14" customFormat="false" ht="30" hidden="false" customHeight="true" outlineLevel="0" collapsed="false">
      <c r="A14" s="7" t="s">
        <v>92</v>
      </c>
      <c r="B14" s="7" t="n">
        <v>1</v>
      </c>
      <c r="C14" s="7" t="s">
        <v>93</v>
      </c>
      <c r="D14" s="7" t="n">
        <v>750</v>
      </c>
      <c r="E14" s="7" t="s">
        <v>94</v>
      </c>
      <c r="F14" s="7" t="s">
        <v>95</v>
      </c>
    </row>
    <row r="15" customFormat="false" ht="30" hidden="false" customHeight="true" outlineLevel="0" collapsed="false">
      <c r="A15" s="7" t="s">
        <v>96</v>
      </c>
      <c r="B15" s="7" t="n">
        <v>1</v>
      </c>
      <c r="C15" s="7" t="s">
        <v>97</v>
      </c>
      <c r="D15" s="7" t="n">
        <v>2500</v>
      </c>
      <c r="E15" s="7" t="s">
        <v>98</v>
      </c>
      <c r="F15" s="7" t="s">
        <v>99</v>
      </c>
    </row>
    <row r="16" customFormat="false" ht="30" hidden="false" customHeight="true" outlineLevel="0" collapsed="false">
      <c r="A16" s="7" t="s">
        <v>100</v>
      </c>
      <c r="B16" s="7" t="n">
        <v>3</v>
      </c>
      <c r="C16" s="7" t="s">
        <v>101</v>
      </c>
      <c r="D16" s="7" t="n">
        <v>450</v>
      </c>
      <c r="E16" s="7" t="s">
        <v>102</v>
      </c>
      <c r="F16" s="7" t="s">
        <v>103</v>
      </c>
    </row>
    <row r="17" customFormat="false" ht="30" hidden="false" customHeight="true" outlineLevel="0" collapsed="false">
      <c r="A17" s="7" t="s">
        <v>104</v>
      </c>
      <c r="B17" s="7" t="n">
        <v>3</v>
      </c>
      <c r="C17" s="7" t="s">
        <v>101</v>
      </c>
      <c r="D17" s="7" t="n">
        <v>500</v>
      </c>
      <c r="E17" s="7" t="s">
        <v>105</v>
      </c>
      <c r="F17" s="7" t="s">
        <v>106</v>
      </c>
    </row>
    <row r="18" customFormat="false" ht="30" hidden="false" customHeight="true" outlineLevel="0" collapsed="false">
      <c r="A18" s="7" t="s">
        <v>107</v>
      </c>
      <c r="B18" s="7" t="n">
        <v>3</v>
      </c>
      <c r="C18" s="7" t="s">
        <v>101</v>
      </c>
      <c r="D18" s="7" t="n">
        <v>160</v>
      </c>
      <c r="E18" s="7" t="s">
        <v>108</v>
      </c>
      <c r="F18" s="7" t="s">
        <v>109</v>
      </c>
    </row>
    <row r="19" customFormat="false" ht="30" hidden="false" customHeight="true" outlineLevel="0" collapsed="false">
      <c r="A19" s="7" t="s">
        <v>110</v>
      </c>
      <c r="B19" s="7" t="n">
        <v>3</v>
      </c>
      <c r="C19" s="7" t="s">
        <v>101</v>
      </c>
      <c r="D19" s="7" t="n">
        <v>90</v>
      </c>
      <c r="E19" s="7" t="s">
        <v>111</v>
      </c>
      <c r="F19" s="7" t="s">
        <v>112</v>
      </c>
    </row>
    <row r="20" customFormat="false" ht="30" hidden="false" customHeight="true" outlineLevel="0" collapsed="false">
      <c r="A20" s="7" t="s">
        <v>113</v>
      </c>
      <c r="B20" s="7" t="n">
        <v>0.25</v>
      </c>
      <c r="C20" s="7" t="s">
        <v>114</v>
      </c>
      <c r="D20" s="7" t="s">
        <v>115</v>
      </c>
      <c r="E20" s="7" t="s">
        <v>116</v>
      </c>
      <c r="F20" s="7" t="s">
        <v>117</v>
      </c>
    </row>
    <row r="21" customFormat="false" ht="30" hidden="false" customHeight="true" outlineLevel="0" collapsed="false">
      <c r="A21" s="7" t="s">
        <v>118</v>
      </c>
      <c r="B21" s="7" t="n">
        <v>8</v>
      </c>
      <c r="C21" s="7" t="s">
        <v>64</v>
      </c>
      <c r="D21" s="7" t="n">
        <v>500</v>
      </c>
      <c r="E21" s="7" t="s">
        <v>119</v>
      </c>
      <c r="F21" s="7" t="s">
        <v>120</v>
      </c>
    </row>
    <row r="22" customFormat="false" ht="30" hidden="false" customHeight="true" outlineLevel="0" collapsed="false">
      <c r="A22" s="7" t="s">
        <v>121</v>
      </c>
      <c r="B22" s="7" t="n">
        <v>250</v>
      </c>
      <c r="C22" s="7" t="s">
        <v>122</v>
      </c>
      <c r="D22" s="7" t="n">
        <v>1</v>
      </c>
      <c r="E22" s="7" t="s">
        <v>123</v>
      </c>
      <c r="F22" s="7" t="s">
        <v>124</v>
      </c>
    </row>
    <row r="23" customFormat="false" ht="30" hidden="false" customHeight="true" outlineLevel="0" collapsed="false">
      <c r="A23" s="7" t="s">
        <v>125</v>
      </c>
      <c r="B23" s="7" t="n">
        <v>250</v>
      </c>
      <c r="C23" s="7" t="s">
        <v>122</v>
      </c>
      <c r="D23" s="7" t="n">
        <v>2</v>
      </c>
      <c r="E23" s="7" t="s">
        <v>126</v>
      </c>
      <c r="F23" s="7" t="s">
        <v>127</v>
      </c>
    </row>
    <row r="24" customFormat="false" ht="30" hidden="false" customHeight="true" outlineLevel="0" collapsed="false">
      <c r="A24" s="7" t="s">
        <v>128</v>
      </c>
      <c r="B24" s="7" t="n">
        <v>250</v>
      </c>
      <c r="C24" s="7" t="s">
        <v>122</v>
      </c>
      <c r="D24" s="7" t="n">
        <v>3</v>
      </c>
      <c r="E24" s="7" t="s">
        <v>129</v>
      </c>
      <c r="F24" s="7" t="s">
        <v>130</v>
      </c>
    </row>
    <row r="25" customFormat="false" ht="30" hidden="false" customHeight="true" outlineLevel="0" collapsed="false">
      <c r="A25" s="7" t="s">
        <v>131</v>
      </c>
      <c r="B25" s="7" t="n">
        <v>250</v>
      </c>
      <c r="C25" s="7" t="s">
        <v>122</v>
      </c>
      <c r="D25" s="7" t="n">
        <v>4</v>
      </c>
      <c r="E25" s="7" t="s">
        <v>132</v>
      </c>
      <c r="F25" s="7" t="s">
        <v>133</v>
      </c>
    </row>
    <row r="26" customFormat="false" ht="30" hidden="false" customHeight="true" outlineLevel="0" collapsed="false">
      <c r="A26" s="7" t="s">
        <v>134</v>
      </c>
      <c r="B26" s="7" t="n">
        <v>200</v>
      </c>
      <c r="C26" s="7" t="s">
        <v>122</v>
      </c>
      <c r="D26" s="7" t="n">
        <v>1</v>
      </c>
      <c r="E26" s="7" t="s">
        <v>135</v>
      </c>
      <c r="F26" s="7" t="s">
        <v>136</v>
      </c>
    </row>
    <row r="27" customFormat="false" ht="30" hidden="false" customHeight="true" outlineLevel="0" collapsed="false">
      <c r="A27" s="7" t="s">
        <v>137</v>
      </c>
      <c r="B27" s="7" t="n">
        <v>30</v>
      </c>
      <c r="C27" s="7" t="s">
        <v>122</v>
      </c>
      <c r="D27" s="7" t="n">
        <v>6</v>
      </c>
      <c r="E27" s="7" t="s">
        <v>138</v>
      </c>
      <c r="F27" s="7" t="s">
        <v>139</v>
      </c>
    </row>
    <row r="28" customFormat="false" ht="30" hidden="false" customHeight="true" outlineLevel="0" collapsed="false">
      <c r="A28" s="7" t="s">
        <v>140</v>
      </c>
      <c r="B28" s="7" t="n">
        <v>3</v>
      </c>
      <c r="C28" s="7" t="s">
        <v>101</v>
      </c>
      <c r="D28" s="7" t="n">
        <v>160</v>
      </c>
      <c r="E28" s="7" t="s">
        <v>108</v>
      </c>
      <c r="F28" s="7" t="s">
        <v>141</v>
      </c>
    </row>
    <row r="29" customFormat="false" ht="30" hidden="false" customHeight="true" outlineLevel="0" collapsed="false">
      <c r="A29" s="7" t="s">
        <v>142</v>
      </c>
      <c r="B29" s="7" t="s">
        <v>143</v>
      </c>
      <c r="C29" s="7" t="s">
        <v>144</v>
      </c>
      <c r="D29" s="7" t="s">
        <v>115</v>
      </c>
      <c r="E29" s="7" t="s">
        <v>145</v>
      </c>
      <c r="F29" s="7" t="s">
        <v>146</v>
      </c>
    </row>
    <row r="30" customFormat="false" ht="30" hidden="false" customHeight="true" outlineLevel="0" collapsed="false">
      <c r="A30" s="7" t="s">
        <v>147</v>
      </c>
      <c r="B30" s="7" t="s">
        <v>148</v>
      </c>
      <c r="C30" s="7" t="s">
        <v>144</v>
      </c>
      <c r="D30" s="7" t="s">
        <v>115</v>
      </c>
      <c r="E30" s="7" t="s">
        <v>149</v>
      </c>
      <c r="F30" s="7" t="s">
        <v>150</v>
      </c>
    </row>
    <row r="31" customFormat="false" ht="30" hidden="false" customHeight="true" outlineLevel="0" collapsed="false">
      <c r="A31" s="7" t="s">
        <v>151</v>
      </c>
      <c r="B31" s="7" t="s">
        <v>152</v>
      </c>
      <c r="C31" s="7" t="s">
        <v>144</v>
      </c>
      <c r="D31" s="7" t="s">
        <v>115</v>
      </c>
      <c r="E31" s="7" t="s">
        <v>153</v>
      </c>
      <c r="F31" s="7" t="s">
        <v>154</v>
      </c>
    </row>
    <row r="32" customFormat="false" ht="30" hidden="false" customHeight="true" outlineLevel="0" collapsed="false">
      <c r="A32" s="7" t="s">
        <v>155</v>
      </c>
      <c r="B32" s="7" t="n">
        <v>2</v>
      </c>
      <c r="C32" s="7" t="s">
        <v>64</v>
      </c>
      <c r="D32" s="7" t="n">
        <v>95</v>
      </c>
      <c r="E32" s="7" t="s">
        <v>156</v>
      </c>
      <c r="F32" s="7" t="s">
        <v>157</v>
      </c>
    </row>
    <row r="33" customFormat="false" ht="30" hidden="false" customHeight="true" outlineLevel="0" collapsed="false">
      <c r="A33" s="7" t="s">
        <v>158</v>
      </c>
      <c r="B33" s="7" t="s">
        <v>159</v>
      </c>
      <c r="C33" s="7" t="s">
        <v>159</v>
      </c>
      <c r="D33" s="7" t="s">
        <v>159</v>
      </c>
      <c r="E33" s="7" t="s">
        <v>160</v>
      </c>
      <c r="F33" s="7" t="s">
        <v>161</v>
      </c>
    </row>
    <row r="34" customFormat="false" ht="30" hidden="false" customHeight="true" outlineLevel="0" collapsed="false">
      <c r="A34" s="7" t="s">
        <v>162</v>
      </c>
      <c r="B34" s="7" t="n">
        <v>2</v>
      </c>
      <c r="C34" s="7" t="s">
        <v>59</v>
      </c>
      <c r="D34" s="7" t="n">
        <v>300</v>
      </c>
      <c r="E34" s="7" t="s">
        <v>163</v>
      </c>
      <c r="F34" s="7" t="s">
        <v>164</v>
      </c>
    </row>
    <row r="35" customFormat="false" ht="30" hidden="false" customHeight="true" outlineLevel="0" collapsed="false">
      <c r="A35" s="7" t="s">
        <v>165</v>
      </c>
      <c r="B35" s="7" t="n">
        <v>2</v>
      </c>
      <c r="C35" s="7" t="s">
        <v>59</v>
      </c>
      <c r="D35" s="7" t="n">
        <v>400</v>
      </c>
      <c r="E35" s="7" t="s">
        <v>166</v>
      </c>
      <c r="F35" s="7" t="s">
        <v>167</v>
      </c>
    </row>
    <row r="36" customFormat="false" ht="30" hidden="false" customHeight="true" outlineLevel="0" collapsed="false">
      <c r="A36" s="13" t="s">
        <v>168</v>
      </c>
      <c r="B36" s="13" t="n">
        <v>1</v>
      </c>
      <c r="C36" s="13" t="s">
        <v>169</v>
      </c>
      <c r="D36" s="13" t="s">
        <v>170</v>
      </c>
      <c r="E36" s="13" t="s">
        <v>171</v>
      </c>
      <c r="F36" s="13" t="s">
        <v>172</v>
      </c>
    </row>
    <row r="37" customFormat="false" ht="30" hidden="false" customHeight="true" outlineLevel="0" collapsed="false">
      <c r="A37" s="13" t="s">
        <v>173</v>
      </c>
      <c r="B37" s="13" t="n">
        <v>1</v>
      </c>
      <c r="C37" s="13" t="s">
        <v>169</v>
      </c>
      <c r="D37" s="13" t="s">
        <v>170</v>
      </c>
      <c r="E37" s="13" t="s">
        <v>174</v>
      </c>
      <c r="F37" s="13" t="s">
        <v>175</v>
      </c>
    </row>
    <row r="38" customFormat="false" ht="30" hidden="false" customHeight="true" outlineLevel="0" collapsed="false">
      <c r="A38" s="13" t="s">
        <v>176</v>
      </c>
      <c r="B38" s="13" t="n">
        <v>1</v>
      </c>
      <c r="C38" s="13" t="s">
        <v>177</v>
      </c>
      <c r="D38" s="13" t="s">
        <v>178</v>
      </c>
      <c r="E38" s="13" t="s">
        <v>179</v>
      </c>
      <c r="F38" s="13" t="s">
        <v>180</v>
      </c>
    </row>
    <row r="39" customFormat="false" ht="30" hidden="false" customHeight="true" outlineLevel="0" collapsed="false">
      <c r="A39" s="13" t="s">
        <v>181</v>
      </c>
      <c r="B39" s="13" t="n">
        <v>1</v>
      </c>
      <c r="C39" s="13" t="s">
        <v>169</v>
      </c>
      <c r="D39" s="13" t="s">
        <v>182</v>
      </c>
      <c r="E39" s="13" t="s">
        <v>183</v>
      </c>
      <c r="F39" s="13" t="s">
        <v>184</v>
      </c>
    </row>
    <row r="40" customFormat="false" ht="49.5" hidden="false" customHeight="true" outlineLevel="0" collapsed="false">
      <c r="A40" s="14" t="s">
        <v>185</v>
      </c>
      <c r="B40" s="14" t="s">
        <v>186</v>
      </c>
      <c r="C40" s="14" t="s">
        <v>187</v>
      </c>
      <c r="D40" s="14" t="n">
        <v>10</v>
      </c>
      <c r="E40" s="14" t="s">
        <v>188</v>
      </c>
      <c r="F40" s="14" t="s">
        <v>189</v>
      </c>
    </row>
    <row r="41" customFormat="false" ht="49.5" hidden="false" customHeight="true" outlineLevel="0" collapsed="false">
      <c r="A41" s="14" t="s">
        <v>190</v>
      </c>
      <c r="B41" s="14" t="n">
        <v>8</v>
      </c>
      <c r="C41" s="14" t="s">
        <v>191</v>
      </c>
      <c r="D41" s="14" t="n">
        <v>10</v>
      </c>
      <c r="E41" s="14" t="s">
        <v>192</v>
      </c>
      <c r="F41" s="14" t="s">
        <v>193</v>
      </c>
    </row>
    <row r="42" customFormat="false" ht="54.75" hidden="false" customHeight="true" outlineLevel="0" collapsed="false">
      <c r="A42" s="15" t="s">
        <v>194</v>
      </c>
      <c r="B42" s="15" t="s">
        <v>152</v>
      </c>
      <c r="C42" s="15" t="s">
        <v>195</v>
      </c>
      <c r="D42" s="15" t="n">
        <v>2</v>
      </c>
      <c r="E42" s="15" t="s">
        <v>196</v>
      </c>
      <c r="F42" s="15" t="s">
        <v>197</v>
      </c>
    </row>
    <row r="43" customFormat="false" ht="54.75" hidden="false" customHeight="true" outlineLevel="0" collapsed="false">
      <c r="A43" s="15" t="s">
        <v>198</v>
      </c>
      <c r="B43" s="15" t="s">
        <v>152</v>
      </c>
      <c r="C43" s="15" t="s">
        <v>195</v>
      </c>
      <c r="D43" s="15" t="n">
        <v>2</v>
      </c>
      <c r="E43" s="15" t="s">
        <v>199</v>
      </c>
      <c r="F43" s="15" t="s">
        <v>200</v>
      </c>
    </row>
    <row r="44" customFormat="false" ht="54.75" hidden="false" customHeight="true" outlineLevel="0" collapsed="false">
      <c r="A44" s="15" t="s">
        <v>201</v>
      </c>
      <c r="B44" s="15" t="s">
        <v>143</v>
      </c>
      <c r="C44" s="15" t="s">
        <v>195</v>
      </c>
      <c r="D44" s="15" t="n">
        <v>3</v>
      </c>
      <c r="E44" s="15" t="s">
        <v>202</v>
      </c>
      <c r="F44" s="15" t="s">
        <v>203</v>
      </c>
    </row>
    <row r="45" customFormat="false" ht="31.5" hidden="false" customHeight="true" outlineLevel="0" collapsed="false">
      <c r="A45" s="16" t="s">
        <v>204</v>
      </c>
      <c r="B45" s="16" t="n">
        <v>1</v>
      </c>
      <c r="C45" s="16" t="s">
        <v>205</v>
      </c>
      <c r="D45" s="16" t="n">
        <v>100</v>
      </c>
      <c r="E45" s="16" t="s">
        <v>206</v>
      </c>
      <c r="F45" s="16" t="s">
        <v>207</v>
      </c>
    </row>
    <row r="46" customFormat="false" ht="31.5" hidden="false" customHeight="true" outlineLevel="0" collapsed="false">
      <c r="A46" s="16" t="s">
        <v>208</v>
      </c>
      <c r="B46" s="16" t="n">
        <v>1</v>
      </c>
      <c r="C46" s="16" t="s">
        <v>205</v>
      </c>
      <c r="D46" s="16" t="n">
        <v>150</v>
      </c>
      <c r="E46" s="16" t="s">
        <v>209</v>
      </c>
      <c r="F46" s="16" t="s">
        <v>210</v>
      </c>
    </row>
    <row r="47" customFormat="false" ht="31.5" hidden="false" customHeight="true" outlineLevel="0" collapsed="false">
      <c r="A47" s="16" t="s">
        <v>211</v>
      </c>
      <c r="B47" s="16" t="n">
        <v>1</v>
      </c>
      <c r="C47" s="16" t="s">
        <v>205</v>
      </c>
      <c r="D47" s="16" t="n">
        <v>200</v>
      </c>
      <c r="E47" s="16" t="s">
        <v>212</v>
      </c>
      <c r="F47" s="16" t="s">
        <v>213</v>
      </c>
    </row>
    <row r="48" customFormat="false" ht="31.5" hidden="false" customHeight="true" outlineLevel="0" collapsed="false">
      <c r="A48" s="16" t="s">
        <v>214</v>
      </c>
      <c r="B48" s="16" t="n">
        <v>1</v>
      </c>
      <c r="C48" s="16" t="s">
        <v>205</v>
      </c>
      <c r="D48" s="16" t="n">
        <v>300</v>
      </c>
      <c r="E48" s="16" t="s">
        <v>215</v>
      </c>
      <c r="F48" s="16" t="s">
        <v>216</v>
      </c>
    </row>
    <row r="49" customFormat="false" ht="31.5" hidden="false" customHeight="true" outlineLevel="0" collapsed="false">
      <c r="A49" s="16" t="s">
        <v>217</v>
      </c>
      <c r="B49" s="16" t="n">
        <v>1</v>
      </c>
      <c r="C49" s="16" t="s">
        <v>205</v>
      </c>
      <c r="D49" s="16" t="n">
        <v>400</v>
      </c>
      <c r="E49" s="16" t="s">
        <v>218</v>
      </c>
      <c r="F49" s="16" t="s">
        <v>219</v>
      </c>
    </row>
    <row r="50" customFormat="false" ht="31.5" hidden="false" customHeight="true" outlineLevel="0" collapsed="false">
      <c r="A50" s="13" t="s">
        <v>220</v>
      </c>
      <c r="B50" s="13" t="n">
        <v>10</v>
      </c>
      <c r="C50" s="13" t="s">
        <v>221</v>
      </c>
      <c r="D50" s="13" t="n">
        <v>10</v>
      </c>
      <c r="E50" s="13" t="s">
        <v>222</v>
      </c>
      <c r="F50" s="13" t="s">
        <v>223</v>
      </c>
    </row>
    <row r="51" customFormat="false" ht="31.5" hidden="false" customHeight="true" outlineLevel="0" collapsed="false">
      <c r="A51" s="13" t="s">
        <v>224</v>
      </c>
      <c r="B51" s="13" t="n">
        <v>20</v>
      </c>
      <c r="C51" s="13" t="s">
        <v>221</v>
      </c>
      <c r="D51" s="13" t="n">
        <v>20</v>
      </c>
      <c r="E51" s="13" t="s">
        <v>225</v>
      </c>
      <c r="F51" s="13" t="s">
        <v>226</v>
      </c>
    </row>
    <row r="52" customFormat="false" ht="31.5" hidden="false" customHeight="true" outlineLevel="0" collapsed="false">
      <c r="A52" s="13" t="s">
        <v>227</v>
      </c>
      <c r="B52" s="13" t="n">
        <v>30</v>
      </c>
      <c r="C52" s="13" t="s">
        <v>221</v>
      </c>
      <c r="D52" s="13" t="n">
        <v>30</v>
      </c>
      <c r="E52" s="13" t="s">
        <v>228</v>
      </c>
      <c r="F52" s="13" t="s">
        <v>229</v>
      </c>
    </row>
    <row r="53" customFormat="false" ht="31.5" hidden="false" customHeight="true" outlineLevel="0" collapsed="false">
      <c r="A53" s="13" t="s">
        <v>230</v>
      </c>
      <c r="B53" s="13" t="n">
        <v>50</v>
      </c>
      <c r="C53" s="13" t="s">
        <v>231</v>
      </c>
      <c r="D53" s="13" t="n">
        <v>50</v>
      </c>
      <c r="E53" s="13" t="s">
        <v>232</v>
      </c>
      <c r="F53" s="13" t="s">
        <v>233</v>
      </c>
    </row>
    <row r="54" customFormat="false" ht="31.5" hidden="false" customHeight="true" outlineLevel="0" collapsed="false">
      <c r="A54" s="13" t="s">
        <v>234</v>
      </c>
      <c r="B54" s="13" t="n">
        <v>100</v>
      </c>
      <c r="C54" s="13" t="s">
        <v>231</v>
      </c>
      <c r="D54" s="13" t="n">
        <v>100</v>
      </c>
      <c r="E54" s="13" t="s">
        <v>235</v>
      </c>
      <c r="F54" s="13" t="s">
        <v>236</v>
      </c>
    </row>
    <row r="55" customFormat="false" ht="31.5" hidden="false" customHeight="true" outlineLevel="0" collapsed="false">
      <c r="A55" s="13" t="s">
        <v>237</v>
      </c>
      <c r="B55" s="13" t="s">
        <v>238</v>
      </c>
      <c r="C55" s="13" t="s">
        <v>231</v>
      </c>
      <c r="D55" s="13" t="n">
        <v>137.5</v>
      </c>
      <c r="E55" s="13" t="s">
        <v>239</v>
      </c>
      <c r="F55" s="13" t="s">
        <v>240</v>
      </c>
    </row>
    <row r="56" customFormat="false" ht="31.5" hidden="false" customHeight="true" outlineLevel="0" collapsed="false">
      <c r="A56" s="13" t="s">
        <v>241</v>
      </c>
      <c r="B56" s="13" t="s">
        <v>242</v>
      </c>
      <c r="C56" s="13" t="s">
        <v>195</v>
      </c>
      <c r="D56" s="13" t="n">
        <v>2</v>
      </c>
      <c r="E56" s="13" t="s">
        <v>243</v>
      </c>
      <c r="F56" s="13" t="s">
        <v>244</v>
      </c>
    </row>
    <row r="57" customFormat="false" ht="31.5" hidden="false" customHeight="true" outlineLevel="0" collapsed="false">
      <c r="A57" s="13" t="s">
        <v>245</v>
      </c>
      <c r="B57" s="13" t="n">
        <v>1</v>
      </c>
      <c r="C57" s="13" t="s">
        <v>177</v>
      </c>
      <c r="D57" s="13" t="n">
        <v>750</v>
      </c>
      <c r="E57" s="13" t="s">
        <v>246</v>
      </c>
      <c r="F57" s="13" t="s">
        <v>247</v>
      </c>
    </row>
    <row r="58" customFormat="false" ht="31.5" hidden="false" customHeight="true" outlineLevel="0" collapsed="false">
      <c r="A58" s="13" t="s">
        <v>248</v>
      </c>
      <c r="B58" s="13" t="n">
        <v>1</v>
      </c>
      <c r="C58" s="13" t="s">
        <v>177</v>
      </c>
      <c r="D58" s="13" t="n">
        <v>1000</v>
      </c>
      <c r="E58" s="13" t="s">
        <v>249</v>
      </c>
      <c r="F58" s="13" t="s">
        <v>250</v>
      </c>
    </row>
    <row r="59" customFormat="false" ht="31.5" hidden="false" customHeight="true" outlineLevel="0" collapsed="false">
      <c r="A59" s="13" t="s">
        <v>251</v>
      </c>
      <c r="B59" s="13" t="n">
        <v>1</v>
      </c>
      <c r="C59" s="13" t="s">
        <v>252</v>
      </c>
      <c r="D59" s="13" t="n">
        <v>2000</v>
      </c>
      <c r="E59" s="13" t="s">
        <v>253</v>
      </c>
      <c r="F59" s="13" t="s">
        <v>254</v>
      </c>
    </row>
    <row r="60" customFormat="false" ht="31.5" hidden="false" customHeight="true" outlineLevel="0" collapsed="false">
      <c r="A60" s="13" t="s">
        <v>255</v>
      </c>
      <c r="B60" s="13" t="n">
        <v>1</v>
      </c>
      <c r="C60" s="13" t="s">
        <v>256</v>
      </c>
      <c r="D60" s="13" t="n">
        <v>500</v>
      </c>
      <c r="E60" s="13" t="s">
        <v>257</v>
      </c>
      <c r="F60" s="13" t="s">
        <v>258</v>
      </c>
    </row>
    <row r="61" customFormat="false" ht="31.5" hidden="false" customHeight="true" outlineLevel="0" collapsed="false">
      <c r="A61" s="17" t="s">
        <v>259</v>
      </c>
      <c r="B61" s="17" t="n">
        <v>1</v>
      </c>
      <c r="C61" s="17" t="s">
        <v>177</v>
      </c>
      <c r="D61" s="17" t="n">
        <v>100</v>
      </c>
      <c r="E61" s="17" t="s">
        <v>260</v>
      </c>
      <c r="F61" s="17" t="s">
        <v>261</v>
      </c>
    </row>
    <row r="62" customFormat="false" ht="31.5" hidden="false" customHeight="true" outlineLevel="0" collapsed="false">
      <c r="A62" s="17" t="s">
        <v>262</v>
      </c>
      <c r="B62" s="17" t="n">
        <v>1</v>
      </c>
      <c r="C62" s="17" t="s">
        <v>177</v>
      </c>
      <c r="D62" s="17" t="n">
        <v>150</v>
      </c>
      <c r="E62" s="17" t="s">
        <v>263</v>
      </c>
      <c r="F62" s="17" t="s">
        <v>264</v>
      </c>
    </row>
    <row r="63" customFormat="false" ht="31.5" hidden="false" customHeight="true" outlineLevel="0" collapsed="false">
      <c r="A63" s="17" t="s">
        <v>265</v>
      </c>
      <c r="B63" s="17" t="n">
        <v>1</v>
      </c>
      <c r="C63" s="17" t="s">
        <v>177</v>
      </c>
      <c r="D63" s="17" t="n">
        <v>200</v>
      </c>
      <c r="E63" s="17" t="s">
        <v>266</v>
      </c>
      <c r="F63" s="17" t="s">
        <v>267</v>
      </c>
    </row>
    <row r="64" customFormat="false" ht="31.5" hidden="false" customHeight="true" outlineLevel="0" collapsed="false">
      <c r="A64" s="17" t="s">
        <v>268</v>
      </c>
      <c r="B64" s="17" t="n">
        <v>1</v>
      </c>
      <c r="C64" s="17" t="s">
        <v>177</v>
      </c>
      <c r="D64" s="17" t="n">
        <v>200</v>
      </c>
      <c r="E64" s="17" t="s">
        <v>269</v>
      </c>
      <c r="F64" s="17" t="s">
        <v>270</v>
      </c>
    </row>
    <row r="65" customFormat="false" ht="31.5" hidden="false" customHeight="true" outlineLevel="0" collapsed="false">
      <c r="A65" s="17" t="s">
        <v>271</v>
      </c>
      <c r="B65" s="17" t="n">
        <v>1</v>
      </c>
      <c r="C65" s="17" t="s">
        <v>177</v>
      </c>
      <c r="D65" s="17" t="n">
        <v>300</v>
      </c>
      <c r="E65" s="17" t="s">
        <v>272</v>
      </c>
      <c r="F65" s="17" t="s">
        <v>273</v>
      </c>
    </row>
    <row r="66" customFormat="false" ht="31.5" hidden="false" customHeight="true" outlineLevel="0" collapsed="false">
      <c r="A66" s="17" t="s">
        <v>274</v>
      </c>
      <c r="B66" s="17" t="n">
        <v>1</v>
      </c>
      <c r="C66" s="17" t="s">
        <v>177</v>
      </c>
      <c r="D66" s="17" t="n">
        <v>300</v>
      </c>
      <c r="E66" s="17" t="s">
        <v>275</v>
      </c>
      <c r="F66" s="17" t="s">
        <v>276</v>
      </c>
    </row>
    <row r="67" customFormat="false" ht="31.5" hidden="false" customHeight="true" outlineLevel="0" collapsed="false">
      <c r="A67" s="17" t="s">
        <v>277</v>
      </c>
      <c r="B67" s="17" t="n">
        <v>1</v>
      </c>
      <c r="C67" s="17" t="s">
        <v>177</v>
      </c>
      <c r="D67" s="17" t="n">
        <v>400</v>
      </c>
      <c r="E67" s="17" t="s">
        <v>278</v>
      </c>
      <c r="F67" s="17" t="s">
        <v>279</v>
      </c>
    </row>
    <row r="68" customFormat="false" ht="31.5" hidden="false" customHeight="true" outlineLevel="0" collapsed="false">
      <c r="A68" s="13" t="s">
        <v>280</v>
      </c>
      <c r="B68" s="13" t="s">
        <v>281</v>
      </c>
      <c r="C68" s="13" t="s">
        <v>195</v>
      </c>
      <c r="D68" s="13" t="n">
        <v>1.5</v>
      </c>
      <c r="E68" s="13" t="s">
        <v>282</v>
      </c>
      <c r="F68" s="13" t="s">
        <v>283</v>
      </c>
    </row>
    <row r="69" customFormat="false" ht="31.5" hidden="false" customHeight="true" outlineLevel="0" collapsed="false">
      <c r="A69" s="13" t="s">
        <v>284</v>
      </c>
      <c r="B69" s="13" t="s">
        <v>285</v>
      </c>
      <c r="C69" s="13" t="s">
        <v>286</v>
      </c>
      <c r="D69" s="13" t="n">
        <v>0.5</v>
      </c>
      <c r="E69" s="13" t="s">
        <v>287</v>
      </c>
      <c r="F69" s="13" t="s">
        <v>288</v>
      </c>
    </row>
    <row r="70" customFormat="false" ht="31.5" hidden="false" customHeight="true" outlineLevel="0" collapsed="false">
      <c r="A70" s="13" t="s">
        <v>289</v>
      </c>
      <c r="B70" s="13" t="n">
        <v>-150</v>
      </c>
      <c r="C70" s="13" t="s">
        <v>290</v>
      </c>
      <c r="D70" s="13" t="n">
        <v>-150</v>
      </c>
      <c r="E70" s="13" t="s">
        <v>291</v>
      </c>
      <c r="F70" s="13" t="s">
        <v>292</v>
      </c>
    </row>
    <row r="71" customFormat="false" ht="31.5" hidden="false" customHeight="true" outlineLevel="0" collapsed="false">
      <c r="A71" s="13" t="s">
        <v>293</v>
      </c>
      <c r="B71" s="13" t="n">
        <v>-300</v>
      </c>
      <c r="C71" s="13" t="s">
        <v>294</v>
      </c>
      <c r="D71" s="13" t="n">
        <v>-300</v>
      </c>
      <c r="E71" s="13" t="s">
        <v>295</v>
      </c>
      <c r="F71" s="13" t="s">
        <v>296</v>
      </c>
    </row>
    <row r="72" customFormat="false" ht="31.5" hidden="false" customHeight="true" outlineLevel="0" collapsed="false">
      <c r="A72" s="13" t="s">
        <v>297</v>
      </c>
      <c r="B72" s="13" t="s">
        <v>298</v>
      </c>
      <c r="C72" s="13" t="s">
        <v>286</v>
      </c>
      <c r="D72" s="13" t="n">
        <v>0.1</v>
      </c>
      <c r="E72" s="13" t="s">
        <v>299</v>
      </c>
      <c r="F72" s="13" t="s">
        <v>300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8"/>
    <col collapsed="false" customWidth="true" hidden="false" outlineLevel="0" max="3" min="3" style="1" width="15"/>
    <col collapsed="false" customWidth="true" hidden="false" outlineLevel="0" max="4" min="4" style="1" width="75"/>
  </cols>
  <sheetData>
    <row r="1" customFormat="false" ht="17.25" hidden="false" customHeight="true" outlineLevel="0" collapsed="false">
      <c r="A1" s="2" t="s">
        <v>301</v>
      </c>
    </row>
    <row r="2" customFormat="false" ht="30" hidden="false" customHeight="true" outlineLevel="0" collapsed="false">
      <c r="A2" s="12" t="s">
        <v>302</v>
      </c>
      <c r="B2" s="12"/>
      <c r="C2" s="12"/>
      <c r="D2" s="12"/>
    </row>
    <row r="4" customFormat="false" ht="21.75" hidden="false" customHeight="true" outlineLevel="0" collapsed="false">
      <c r="A4" s="6" t="s">
        <v>303</v>
      </c>
      <c r="B4" s="6" t="s">
        <v>304</v>
      </c>
      <c r="C4" s="6" t="s">
        <v>305</v>
      </c>
      <c r="D4" s="6" t="s">
        <v>306</v>
      </c>
    </row>
    <row r="5" customFormat="false" ht="31.5" hidden="false" customHeight="true" outlineLevel="0" collapsed="false">
      <c r="A5" s="18" t="s">
        <v>307</v>
      </c>
      <c r="B5" s="7" t="s">
        <v>13</v>
      </c>
      <c r="C5" s="19" t="n">
        <v>100</v>
      </c>
      <c r="D5" s="20" t="s">
        <v>308</v>
      </c>
    </row>
    <row r="6" customFormat="false" ht="31.5" hidden="false" customHeight="true" outlineLevel="0" collapsed="false">
      <c r="A6" s="18" t="s">
        <v>309</v>
      </c>
      <c r="B6" s="7" t="s">
        <v>13</v>
      </c>
      <c r="C6" s="19" t="n">
        <v>12</v>
      </c>
      <c r="D6" s="20" t="s">
        <v>310</v>
      </c>
    </row>
    <row r="7" customFormat="false" ht="31.5" hidden="false" customHeight="true" outlineLevel="0" collapsed="false">
      <c r="A7" s="18" t="s">
        <v>311</v>
      </c>
      <c r="B7" s="7" t="s">
        <v>13</v>
      </c>
      <c r="C7" s="19" t="n">
        <v>11</v>
      </c>
      <c r="D7" s="20" t="s">
        <v>312</v>
      </c>
    </row>
    <row r="8" customFormat="false" ht="31.5" hidden="false" customHeight="true" outlineLevel="0" collapsed="false">
      <c r="A8" s="18" t="s">
        <v>313</v>
      </c>
      <c r="B8" s="7" t="s">
        <v>13</v>
      </c>
      <c r="C8" s="19" t="n">
        <v>25</v>
      </c>
      <c r="D8" s="20" t="s">
        <v>314</v>
      </c>
    </row>
    <row r="9" customFormat="false" ht="31.5" hidden="false" customHeight="true" outlineLevel="0" collapsed="false">
      <c r="A9" s="18" t="s">
        <v>315</v>
      </c>
      <c r="B9" s="7" t="s">
        <v>13</v>
      </c>
      <c r="C9" s="19" t="n">
        <v>5</v>
      </c>
      <c r="D9" s="20" t="s">
        <v>316</v>
      </c>
    </row>
    <row r="10" customFormat="false" ht="31.5" hidden="false" customHeight="true" outlineLevel="0" collapsed="false">
      <c r="A10" s="18" t="s">
        <v>317</v>
      </c>
      <c r="B10" s="7" t="s">
        <v>318</v>
      </c>
      <c r="C10" s="19" t="n">
        <v>12</v>
      </c>
      <c r="D10" s="20" t="s">
        <v>319</v>
      </c>
    </row>
    <row r="11" customFormat="false" ht="31.5" hidden="false" customHeight="true" outlineLevel="0" collapsed="false">
      <c r="A11" s="18" t="s">
        <v>320</v>
      </c>
      <c r="B11" s="7" t="s">
        <v>318</v>
      </c>
      <c r="C11" s="19" t="n">
        <v>3</v>
      </c>
      <c r="D11" s="20" t="s">
        <v>321</v>
      </c>
    </row>
    <row r="12" customFormat="false" ht="31.5" hidden="false" customHeight="true" outlineLevel="0" collapsed="false">
      <c r="A12" s="18" t="s">
        <v>322</v>
      </c>
      <c r="B12" s="7" t="s">
        <v>318</v>
      </c>
      <c r="C12" s="19" t="n">
        <v>6</v>
      </c>
      <c r="D12" s="20" t="s">
        <v>323</v>
      </c>
    </row>
    <row r="13" customFormat="false" ht="31.5" hidden="false" customHeight="true" outlineLevel="0" collapsed="false">
      <c r="A13" s="18" t="s">
        <v>324</v>
      </c>
      <c r="B13" s="7" t="s">
        <v>318</v>
      </c>
      <c r="C13" s="19" t="n">
        <v>0.75</v>
      </c>
      <c r="D13" s="20" t="s">
        <v>325</v>
      </c>
    </row>
    <row r="14" customFormat="false" ht="31.5" hidden="false" customHeight="true" outlineLevel="0" collapsed="false">
      <c r="A14" s="18" t="s">
        <v>326</v>
      </c>
      <c r="B14" s="7" t="s">
        <v>318</v>
      </c>
      <c r="C14" s="19" t="n">
        <v>27</v>
      </c>
      <c r="D14" s="20" t="s">
        <v>327</v>
      </c>
    </row>
    <row r="15" customFormat="false" ht="31.5" hidden="false" customHeight="true" outlineLevel="0" collapsed="false">
      <c r="A15" s="18" t="s">
        <v>328</v>
      </c>
      <c r="B15" s="7" t="s">
        <v>329</v>
      </c>
      <c r="C15" s="19" t="n">
        <v>0.25</v>
      </c>
      <c r="D15" s="20" t="s">
        <v>330</v>
      </c>
    </row>
    <row r="16" customFormat="false" ht="31.5" hidden="false" customHeight="true" outlineLevel="0" collapsed="false">
      <c r="A16" s="18" t="s">
        <v>331</v>
      </c>
      <c r="B16" s="7" t="s">
        <v>329</v>
      </c>
      <c r="C16" s="19" t="n">
        <v>2</v>
      </c>
      <c r="D16" s="20" t="s">
        <v>332</v>
      </c>
    </row>
    <row r="17" customFormat="false" ht="31.5" hidden="false" customHeight="true" outlineLevel="0" collapsed="false">
      <c r="A17" s="18" t="s">
        <v>333</v>
      </c>
      <c r="B17" s="7" t="s">
        <v>334</v>
      </c>
      <c r="C17" s="19" t="s">
        <v>335</v>
      </c>
      <c r="D17" s="20" t="s">
        <v>336</v>
      </c>
    </row>
    <row r="18" customFormat="false" ht="31.5" hidden="false" customHeight="true" outlineLevel="0" collapsed="false">
      <c r="A18" s="18" t="s">
        <v>337</v>
      </c>
      <c r="B18" s="7" t="s">
        <v>334</v>
      </c>
      <c r="C18" s="19" t="s">
        <v>338</v>
      </c>
      <c r="D18" s="20" t="s">
        <v>339</v>
      </c>
    </row>
    <row r="19" customFormat="false" ht="37.5" hidden="false" customHeight="true" outlineLevel="0" collapsed="false">
      <c r="A19" s="18" t="s">
        <v>340</v>
      </c>
      <c r="B19" s="7" t="s">
        <v>341</v>
      </c>
      <c r="C19" s="19" t="n">
        <v>10</v>
      </c>
      <c r="D19" s="20" t="s">
        <v>342</v>
      </c>
    </row>
    <row r="20" customFormat="false" ht="75" hidden="false" customHeight="true" outlineLevel="0" collapsed="false">
      <c r="A20" s="18" t="s">
        <v>343</v>
      </c>
      <c r="B20" s="7" t="s">
        <v>344</v>
      </c>
      <c r="C20" s="19" t="n">
        <v>8</v>
      </c>
      <c r="D20" s="20" t="s">
        <v>345</v>
      </c>
    </row>
    <row r="21" customFormat="false" ht="60" hidden="false" customHeight="true" outlineLevel="0" collapsed="false">
      <c r="A21" s="18" t="s">
        <v>346</v>
      </c>
      <c r="B21" s="7" t="s">
        <v>25</v>
      </c>
      <c r="C21" s="19" t="n">
        <v>2</v>
      </c>
      <c r="D21" s="20" t="s">
        <v>347</v>
      </c>
    </row>
    <row r="22" customFormat="false" ht="60" hidden="false" customHeight="true" outlineLevel="0" collapsed="false">
      <c r="A22" s="18" t="s">
        <v>348</v>
      </c>
      <c r="B22" s="7" t="s">
        <v>25</v>
      </c>
      <c r="C22" s="19" t="n">
        <v>2</v>
      </c>
      <c r="D22" s="20" t="s">
        <v>349</v>
      </c>
    </row>
    <row r="23" customFormat="false" ht="60" hidden="false" customHeight="true" outlineLevel="0" collapsed="false">
      <c r="A23" s="18" t="s">
        <v>350</v>
      </c>
      <c r="B23" s="7" t="s">
        <v>25</v>
      </c>
      <c r="C23" s="19" t="n">
        <v>3</v>
      </c>
      <c r="D23" s="20" t="s">
        <v>351</v>
      </c>
    </row>
    <row r="24" customFormat="false" ht="60" hidden="false" customHeight="true" outlineLevel="0" collapsed="false">
      <c r="A24" s="18" t="s">
        <v>352</v>
      </c>
      <c r="B24" s="7" t="s">
        <v>353</v>
      </c>
      <c r="C24" s="19" t="n">
        <v>100</v>
      </c>
      <c r="D24" s="20" t="s">
        <v>354</v>
      </c>
    </row>
    <row r="25" customFormat="false" ht="60" hidden="false" customHeight="true" outlineLevel="0" collapsed="false">
      <c r="A25" s="18" t="s">
        <v>355</v>
      </c>
      <c r="B25" s="7" t="s">
        <v>353</v>
      </c>
      <c r="C25" s="19" t="n">
        <v>150</v>
      </c>
      <c r="D25" s="20" t="s">
        <v>356</v>
      </c>
    </row>
    <row r="26" customFormat="false" ht="60" hidden="false" customHeight="true" outlineLevel="0" collapsed="false">
      <c r="A26" s="18" t="s">
        <v>357</v>
      </c>
      <c r="B26" s="7" t="s">
        <v>353</v>
      </c>
      <c r="C26" s="19" t="n">
        <v>200</v>
      </c>
      <c r="D26" s="20" t="s">
        <v>358</v>
      </c>
    </row>
    <row r="27" customFormat="false" ht="60" hidden="false" customHeight="true" outlineLevel="0" collapsed="false">
      <c r="A27" s="18" t="s">
        <v>359</v>
      </c>
      <c r="B27" s="7" t="s">
        <v>353</v>
      </c>
      <c r="C27" s="19" t="n">
        <v>300</v>
      </c>
      <c r="D27" s="20" t="s">
        <v>360</v>
      </c>
    </row>
    <row r="28" customFormat="false" ht="60" hidden="false" customHeight="true" outlineLevel="0" collapsed="false">
      <c r="A28" s="18" t="s">
        <v>361</v>
      </c>
      <c r="B28" s="7" t="s">
        <v>353</v>
      </c>
      <c r="C28" s="19" t="n">
        <v>400</v>
      </c>
      <c r="D28" s="20" t="s">
        <v>362</v>
      </c>
    </row>
    <row r="29" customFormat="false" ht="60" hidden="false" customHeight="true" outlineLevel="0" collapsed="false">
      <c r="A29" s="18" t="s">
        <v>363</v>
      </c>
      <c r="B29" s="7" t="s">
        <v>23</v>
      </c>
      <c r="C29" s="19" t="n">
        <v>1.5</v>
      </c>
      <c r="D29" s="20" t="s">
        <v>364</v>
      </c>
    </row>
    <row r="30" customFormat="false" ht="60" hidden="false" customHeight="true" outlineLevel="0" collapsed="false">
      <c r="A30" s="18" t="s">
        <v>365</v>
      </c>
      <c r="B30" s="7" t="s">
        <v>23</v>
      </c>
      <c r="C30" s="19" t="n">
        <v>0.25</v>
      </c>
      <c r="D30" s="20" t="s">
        <v>366</v>
      </c>
    </row>
    <row r="31" customFormat="false" ht="60" hidden="false" customHeight="true" outlineLevel="0" collapsed="false">
      <c r="A31" s="18" t="s">
        <v>367</v>
      </c>
      <c r="B31" s="7" t="s">
        <v>23</v>
      </c>
      <c r="C31" s="19" t="n">
        <v>0.75</v>
      </c>
      <c r="D31" s="20" t="s">
        <v>368</v>
      </c>
    </row>
    <row r="32" customFormat="false" ht="60" hidden="false" customHeight="true" outlineLevel="0" collapsed="false">
      <c r="A32" s="18" t="s">
        <v>369</v>
      </c>
      <c r="B32" s="7" t="s">
        <v>23</v>
      </c>
      <c r="C32" s="19" t="n">
        <v>150</v>
      </c>
      <c r="D32" s="20" t="s">
        <v>370</v>
      </c>
    </row>
    <row r="33" customFormat="false" ht="60" hidden="false" customHeight="true" outlineLevel="0" collapsed="false">
      <c r="A33" s="18" t="s">
        <v>371</v>
      </c>
      <c r="B33" s="7" t="s">
        <v>23</v>
      </c>
      <c r="C33" s="19" t="n">
        <v>300</v>
      </c>
      <c r="D33" s="20" t="s">
        <v>372</v>
      </c>
    </row>
    <row r="34" customFormat="false" ht="60" hidden="false" customHeight="true" outlineLevel="0" collapsed="false">
      <c r="A34" s="18" t="s">
        <v>373</v>
      </c>
      <c r="B34" s="7" t="s">
        <v>23</v>
      </c>
      <c r="C34" s="19" t="n">
        <v>0.1</v>
      </c>
      <c r="D34" s="20" t="s">
        <v>374</v>
      </c>
    </row>
    <row r="35" customFormat="false" ht="60" hidden="false" customHeight="true" outlineLevel="0" collapsed="false">
      <c r="A35" s="18" t="s">
        <v>375</v>
      </c>
      <c r="B35" s="7" t="s">
        <v>376</v>
      </c>
      <c r="C35" s="19" t="n">
        <v>20</v>
      </c>
      <c r="D35" s="20" t="s">
        <v>377</v>
      </c>
    </row>
    <row r="36" customFormat="false" ht="60" hidden="false" customHeight="true" outlineLevel="0" collapsed="false">
      <c r="A36" s="18" t="s">
        <v>378</v>
      </c>
      <c r="B36" s="7" t="s">
        <v>376</v>
      </c>
      <c r="C36" s="19" t="n">
        <v>30</v>
      </c>
      <c r="D36" s="20" t="s">
        <v>379</v>
      </c>
    </row>
    <row r="37" customFormat="false" ht="60" hidden="false" customHeight="true" outlineLevel="0" collapsed="false">
      <c r="A37" s="18" t="s">
        <v>380</v>
      </c>
      <c r="B37" s="7" t="s">
        <v>376</v>
      </c>
      <c r="C37" s="19" t="n">
        <v>50</v>
      </c>
      <c r="D37" s="20" t="s">
        <v>381</v>
      </c>
    </row>
    <row r="38" customFormat="false" ht="60" hidden="false" customHeight="true" outlineLevel="0" collapsed="false">
      <c r="A38" s="18" t="s">
        <v>382</v>
      </c>
      <c r="B38" s="7" t="s">
        <v>376</v>
      </c>
      <c r="C38" s="19" t="n">
        <v>100</v>
      </c>
      <c r="D38" s="20" t="s">
        <v>383</v>
      </c>
    </row>
    <row r="39" customFormat="false" ht="60" hidden="false" customHeight="true" outlineLevel="0" collapsed="false">
      <c r="A39" s="18" t="s">
        <v>384</v>
      </c>
      <c r="B39" s="7" t="s">
        <v>376</v>
      </c>
      <c r="C39" s="19" t="n">
        <v>137.5</v>
      </c>
      <c r="D39" s="20" t="s">
        <v>385</v>
      </c>
    </row>
    <row r="40" customFormat="false" ht="60" hidden="false" customHeight="true" outlineLevel="0" collapsed="false">
      <c r="A40" s="18" t="s">
        <v>386</v>
      </c>
      <c r="B40" s="7" t="s">
        <v>376</v>
      </c>
      <c r="C40" s="19" t="n">
        <v>2</v>
      </c>
      <c r="D40" s="20" t="s">
        <v>387</v>
      </c>
    </row>
    <row r="41" customFormat="false" ht="60" hidden="false" customHeight="true" outlineLevel="0" collapsed="false">
      <c r="A41" s="18" t="s">
        <v>388</v>
      </c>
      <c r="B41" s="7" t="s">
        <v>376</v>
      </c>
      <c r="C41" s="19" t="n">
        <v>3</v>
      </c>
      <c r="D41" s="20" t="s">
        <v>389</v>
      </c>
    </row>
    <row r="42" customFormat="false" ht="60" hidden="false" customHeight="true" outlineLevel="0" collapsed="false">
      <c r="A42" s="18" t="s">
        <v>390</v>
      </c>
      <c r="B42" s="7" t="s">
        <v>376</v>
      </c>
      <c r="C42" s="19" t="n">
        <v>750</v>
      </c>
      <c r="D42" s="20" t="s">
        <v>391</v>
      </c>
    </row>
    <row r="43" customFormat="false" ht="60" hidden="false" customHeight="true" outlineLevel="0" collapsed="false">
      <c r="A43" s="18" t="s">
        <v>392</v>
      </c>
      <c r="B43" s="7" t="s">
        <v>376</v>
      </c>
      <c r="C43" s="19" t="n">
        <v>1000</v>
      </c>
      <c r="D43" s="20" t="s">
        <v>393</v>
      </c>
    </row>
    <row r="44" customFormat="false" ht="60" hidden="false" customHeight="true" outlineLevel="0" collapsed="false">
      <c r="A44" s="18" t="s">
        <v>394</v>
      </c>
      <c r="B44" s="7" t="s">
        <v>376</v>
      </c>
      <c r="C44" s="19" t="n">
        <v>2000</v>
      </c>
      <c r="D44" s="20" t="s">
        <v>395</v>
      </c>
    </row>
    <row r="45" customFormat="false" ht="60" hidden="false" customHeight="true" outlineLevel="0" collapsed="false">
      <c r="A45" s="18" t="s">
        <v>396</v>
      </c>
      <c r="B45" s="7" t="s">
        <v>376</v>
      </c>
      <c r="C45" s="19" t="n">
        <v>500</v>
      </c>
      <c r="D45" s="20" t="s">
        <v>397</v>
      </c>
    </row>
    <row r="46" customFormat="false" ht="60" hidden="false" customHeight="true" outlineLevel="0" collapsed="false">
      <c r="A46" s="18" t="s">
        <v>398</v>
      </c>
      <c r="B46" s="7" t="s">
        <v>399</v>
      </c>
      <c r="C46" s="19" t="n">
        <v>14</v>
      </c>
      <c r="D46" s="20" t="s">
        <v>400</v>
      </c>
    </row>
    <row r="47" customFormat="false" ht="60" hidden="false" customHeight="true" outlineLevel="0" collapsed="false">
      <c r="A47" s="18" t="s">
        <v>401</v>
      </c>
      <c r="B47" s="7" t="s">
        <v>399</v>
      </c>
      <c r="C47" s="19" t="n">
        <v>60</v>
      </c>
      <c r="D47" s="20" t="s">
        <v>402</v>
      </c>
    </row>
    <row r="48" customFormat="false" ht="60" hidden="false" customHeight="true" outlineLevel="0" collapsed="false">
      <c r="A48" s="18" t="s">
        <v>403</v>
      </c>
      <c r="B48" s="7" t="s">
        <v>399</v>
      </c>
      <c r="C48" s="19" t="n">
        <v>1.3</v>
      </c>
      <c r="D48" s="20" t="s">
        <v>404</v>
      </c>
    </row>
    <row r="49" customFormat="false" ht="60" hidden="false" customHeight="true" outlineLevel="0" collapsed="false">
      <c r="A49" s="18" t="s">
        <v>405</v>
      </c>
      <c r="B49" s="7" t="s">
        <v>406</v>
      </c>
      <c r="C49" s="19" t="n">
        <v>100</v>
      </c>
      <c r="D49" s="20" t="s">
        <v>407</v>
      </c>
    </row>
    <row r="50" customFormat="false" ht="60" hidden="false" customHeight="true" outlineLevel="0" collapsed="false">
      <c r="A50" s="18" t="s">
        <v>408</v>
      </c>
      <c r="B50" s="7" t="s">
        <v>406</v>
      </c>
      <c r="C50" s="19" t="n">
        <v>150</v>
      </c>
      <c r="D50" s="20" t="s">
        <v>409</v>
      </c>
    </row>
    <row r="51" customFormat="false" ht="60" hidden="false" customHeight="true" outlineLevel="0" collapsed="false">
      <c r="A51" s="18" t="s">
        <v>410</v>
      </c>
      <c r="B51" s="7" t="s">
        <v>406</v>
      </c>
      <c r="C51" s="19" t="n">
        <v>200</v>
      </c>
      <c r="D51" s="20" t="s">
        <v>411</v>
      </c>
    </row>
    <row r="52" customFormat="false" ht="60" hidden="false" customHeight="true" outlineLevel="0" collapsed="false">
      <c r="A52" s="18" t="s">
        <v>412</v>
      </c>
      <c r="B52" s="7" t="s">
        <v>406</v>
      </c>
      <c r="C52" s="19" t="n">
        <v>200</v>
      </c>
      <c r="D52" s="20" t="s">
        <v>413</v>
      </c>
    </row>
    <row r="53" customFormat="false" ht="60" hidden="false" customHeight="true" outlineLevel="0" collapsed="false">
      <c r="A53" s="18" t="s">
        <v>414</v>
      </c>
      <c r="B53" s="7" t="s">
        <v>406</v>
      </c>
      <c r="C53" s="19" t="n">
        <v>300</v>
      </c>
      <c r="D53" s="20" t="s">
        <v>415</v>
      </c>
    </row>
    <row r="54" customFormat="false" ht="60" hidden="false" customHeight="true" outlineLevel="0" collapsed="false">
      <c r="A54" s="18" t="s">
        <v>416</v>
      </c>
      <c r="B54" s="7" t="s">
        <v>406</v>
      </c>
      <c r="C54" s="19" t="n">
        <v>300</v>
      </c>
      <c r="D54" s="20" t="s">
        <v>417</v>
      </c>
    </row>
    <row r="55" customFormat="false" ht="60" hidden="false" customHeight="true" outlineLevel="0" collapsed="false">
      <c r="A55" s="18" t="s">
        <v>418</v>
      </c>
      <c r="B55" s="7" t="s">
        <v>406</v>
      </c>
      <c r="C55" s="19" t="n">
        <v>400</v>
      </c>
      <c r="D55" s="20" t="s">
        <v>419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16"/>
    <col collapsed="false" customWidth="true" hidden="false" outlineLevel="0" max="7" min="4" style="1" width="18"/>
  </cols>
  <sheetData>
    <row r="1" customFormat="false" ht="17.25" hidden="false" customHeight="true" outlineLevel="0" collapsed="false">
      <c r="A1" s="2" t="s">
        <v>420</v>
      </c>
    </row>
    <row r="2" customFormat="false" ht="45" hidden="false" customHeight="true" outlineLevel="0" collapsed="false">
      <c r="A2" s="12" t="s">
        <v>421</v>
      </c>
      <c r="B2" s="12"/>
      <c r="C2" s="12"/>
      <c r="D2" s="12"/>
      <c r="E2" s="12"/>
      <c r="F2" s="12"/>
      <c r="G2" s="12"/>
    </row>
    <row r="4" customFormat="false" ht="15" hidden="false" customHeight="true" outlineLevel="0" collapsed="false">
      <c r="A4" s="21" t="s">
        <v>422</v>
      </c>
      <c r="B4" s="21"/>
      <c r="C4" s="21"/>
      <c r="D4" s="21"/>
      <c r="E4" s="21"/>
      <c r="F4" s="21"/>
      <c r="G4" s="21"/>
    </row>
    <row r="5" customFormat="false" ht="31.5" hidden="false" customHeight="true" outlineLevel="0" collapsed="false">
      <c r="A5" s="22" t="s">
        <v>423</v>
      </c>
      <c r="B5" s="20" t="s">
        <v>424</v>
      </c>
      <c r="C5" s="20"/>
      <c r="D5" s="20"/>
      <c r="E5" s="20"/>
      <c r="F5" s="20"/>
      <c r="G5" s="20"/>
    </row>
    <row r="6" customFormat="false" ht="31.5" hidden="false" customHeight="true" outlineLevel="0" collapsed="false">
      <c r="A6" s="22" t="s">
        <v>425</v>
      </c>
      <c r="B6" s="23" t="s">
        <v>426</v>
      </c>
      <c r="C6" s="23"/>
      <c r="D6" s="23"/>
      <c r="E6" s="23"/>
      <c r="F6" s="23"/>
      <c r="G6" s="23"/>
    </row>
    <row r="7" customFormat="false" ht="31.5" hidden="false" customHeight="true" outlineLevel="0" collapsed="false">
      <c r="A7" s="22" t="s">
        <v>427</v>
      </c>
      <c r="B7" s="20" t="s">
        <v>428</v>
      </c>
      <c r="C7" s="20"/>
      <c r="D7" s="20"/>
      <c r="E7" s="20"/>
      <c r="F7" s="20"/>
      <c r="G7" s="20"/>
    </row>
    <row r="8" customFormat="false" ht="31.5" hidden="false" customHeight="true" outlineLevel="0" collapsed="false">
      <c r="A8" s="22" t="s">
        <v>429</v>
      </c>
      <c r="B8" s="23" t="s">
        <v>430</v>
      </c>
      <c r="C8" s="23"/>
      <c r="D8" s="23"/>
      <c r="E8" s="23"/>
      <c r="F8" s="23"/>
      <c r="G8" s="23"/>
    </row>
    <row r="9" customFormat="false" ht="31.5" hidden="false" customHeight="true" outlineLevel="0" collapsed="false">
      <c r="A9" s="22" t="s">
        <v>427</v>
      </c>
      <c r="B9" s="20" t="s">
        <v>431</v>
      </c>
      <c r="C9" s="20"/>
      <c r="D9" s="20"/>
      <c r="E9" s="20"/>
      <c r="F9" s="20"/>
      <c r="G9" s="20"/>
    </row>
    <row r="10" customFormat="false" ht="31.5" hidden="false" customHeight="true" outlineLevel="0" collapsed="false">
      <c r="A10" s="22" t="s">
        <v>432</v>
      </c>
      <c r="B10" s="23" t="s">
        <v>433</v>
      </c>
      <c r="C10" s="23"/>
      <c r="D10" s="23"/>
      <c r="E10" s="23"/>
      <c r="F10" s="23"/>
      <c r="G10" s="23"/>
    </row>
    <row r="12" customFormat="false" ht="15" hidden="false" customHeight="true" outlineLevel="0" collapsed="false">
      <c r="A12" s="21" t="s">
        <v>434</v>
      </c>
      <c r="B12" s="21"/>
      <c r="C12" s="21"/>
      <c r="D12" s="21"/>
      <c r="E12" s="21"/>
      <c r="F12" s="21"/>
      <c r="G12" s="21"/>
    </row>
    <row r="13" customFormat="false" ht="39.75" hidden="false" customHeight="true" outlineLevel="0" collapsed="false">
      <c r="A13" s="5" t="s">
        <v>435</v>
      </c>
      <c r="B13" s="5"/>
      <c r="C13" s="5"/>
      <c r="D13" s="5"/>
      <c r="E13" s="5"/>
      <c r="F13" s="5"/>
      <c r="G13" s="5"/>
    </row>
    <row r="14" customFormat="false" ht="39.75" hidden="false" customHeight="true" outlineLevel="0" collapsed="false">
      <c r="A14" s="5" t="s">
        <v>436</v>
      </c>
      <c r="B14" s="5"/>
      <c r="C14" s="5"/>
      <c r="D14" s="5"/>
      <c r="E14" s="5"/>
      <c r="F14" s="5"/>
      <c r="G14" s="5"/>
    </row>
    <row r="15" customFormat="false" ht="39.75" hidden="false" customHeight="true" outlineLevel="0" collapsed="false">
      <c r="A15" s="5" t="s">
        <v>437</v>
      </c>
      <c r="B15" s="5"/>
      <c r="C15" s="5"/>
      <c r="D15" s="5"/>
      <c r="E15" s="5"/>
      <c r="F15" s="5"/>
      <c r="G15" s="5"/>
    </row>
    <row r="16" customFormat="false" ht="39.75" hidden="false" customHeight="true" outlineLevel="0" collapsed="false">
      <c r="A16" s="5" t="s">
        <v>438</v>
      </c>
      <c r="B16" s="5"/>
      <c r="C16" s="5"/>
      <c r="D16" s="5"/>
      <c r="E16" s="5"/>
      <c r="F16" s="5"/>
      <c r="G16" s="5"/>
    </row>
    <row r="18" customFormat="false" ht="15" hidden="false" customHeight="true" outlineLevel="0" collapsed="false">
      <c r="A18" s="21" t="s">
        <v>439</v>
      </c>
      <c r="B18" s="21"/>
      <c r="C18" s="21"/>
      <c r="D18" s="21"/>
      <c r="E18" s="21"/>
      <c r="F18" s="21"/>
      <c r="G18" s="21"/>
    </row>
    <row r="19" customFormat="false" ht="30" hidden="false" customHeight="true" outlineLevel="0" collapsed="false">
      <c r="A19" s="6" t="s">
        <v>440</v>
      </c>
      <c r="B19" s="6" t="s">
        <v>441</v>
      </c>
      <c r="C19" s="6" t="s">
        <v>442</v>
      </c>
      <c r="D19" s="6" t="s">
        <v>443</v>
      </c>
      <c r="E19" s="6" t="s">
        <v>444</v>
      </c>
      <c r="F19" s="6" t="s">
        <v>445</v>
      </c>
      <c r="G19" s="6" t="s">
        <v>446</v>
      </c>
    </row>
    <row r="20" customFormat="false" ht="15" hidden="false" customHeight="true" outlineLevel="0" collapsed="false">
      <c r="A20" s="24" t="n">
        <v>6</v>
      </c>
      <c r="B20" s="25" t="n">
        <f aca="false">A20/12</f>
        <v>0.5</v>
      </c>
      <c r="C20" s="26" t="n">
        <f aca="false">MAX(Primary_Stump_Minimum, Primary_Stump_Minimum + Rate_Per_Inch * (A20 - Free_Diameter))</f>
        <v>100</v>
      </c>
      <c r="D20" s="26" t="n">
        <f aca="false">MAX(Addon_Stump_Minimum, Addon_Rate_Per_Inch * A20)</f>
        <v>30</v>
      </c>
      <c r="E20" s="24" t="n">
        <f aca="false">A20 + Root_Flare_Margin</f>
        <v>18</v>
      </c>
      <c r="F20" s="24" t="n">
        <f aca="false">CEILING(PI() * ((A20 + Root_Flare_Margin)/24)^2 * Backfill_Depth_Cap/12 / CuFt_Per_Bag, 1)</f>
        <v>1</v>
      </c>
      <c r="G20" s="24" t="n">
        <f aca="false">CEILING(PI() * ((A20 + Root_Flare_Margin)/24)^2 * Backfill_Depth_Full/12 / CuFt_Per_Bag, 1)</f>
        <v>2</v>
      </c>
    </row>
    <row r="21" customFormat="false" ht="15" hidden="false" customHeight="true" outlineLevel="0" collapsed="false">
      <c r="A21" s="24" t="n">
        <v>8</v>
      </c>
      <c r="B21" s="25" t="n">
        <f aca="false">A21/12</f>
        <v>0.666666666666667</v>
      </c>
      <c r="C21" s="26" t="n">
        <f aca="false">MAX(Primary_Stump_Minimum, Primary_Stump_Minimum + Rate_Per_Inch * (A21 - Free_Diameter))</f>
        <v>100</v>
      </c>
      <c r="D21" s="26" t="n">
        <f aca="false">MAX(Addon_Stump_Minimum, Addon_Rate_Per_Inch * A21)</f>
        <v>40</v>
      </c>
      <c r="E21" s="24" t="n">
        <f aca="false">A21 + Root_Flare_Margin</f>
        <v>20</v>
      </c>
      <c r="F21" s="24" t="n">
        <f aca="false">CEILING(PI() * ((A21 + Root_Flare_Margin)/24)^2 * Backfill_Depth_Cap/12 / CuFt_Per_Bag, 1)</f>
        <v>1</v>
      </c>
      <c r="G21" s="24" t="n">
        <f aca="false">CEILING(PI() * ((A21 + Root_Flare_Margin)/24)^2 * Backfill_Depth_Full/12 / CuFt_Per_Bag, 1)</f>
        <v>2</v>
      </c>
    </row>
    <row r="22" customFormat="false" ht="15" hidden="false" customHeight="true" outlineLevel="0" collapsed="false">
      <c r="A22" s="24" t="n">
        <v>10</v>
      </c>
      <c r="B22" s="25" t="n">
        <f aca="false">A22/12</f>
        <v>0.833333333333333</v>
      </c>
      <c r="C22" s="26" t="n">
        <f aca="false">MAX(Primary_Stump_Minimum, Primary_Stump_Minimum + Rate_Per_Inch * (A22 - Free_Diameter))</f>
        <v>100</v>
      </c>
      <c r="D22" s="26" t="n">
        <f aca="false">MAX(Addon_Stump_Minimum, Addon_Rate_Per_Inch * A22)</f>
        <v>50</v>
      </c>
      <c r="E22" s="24" t="n">
        <f aca="false">A22 + Root_Flare_Margin</f>
        <v>22</v>
      </c>
      <c r="F22" s="24" t="n">
        <f aca="false">CEILING(PI() * ((A22 + Root_Flare_Margin)/24)^2 * Backfill_Depth_Cap/12 / CuFt_Per_Bag, 1)</f>
        <v>1</v>
      </c>
      <c r="G22" s="24" t="n">
        <f aca="false">CEILING(PI() * ((A22 + Root_Flare_Margin)/24)^2 * Backfill_Depth_Full/12 / CuFt_Per_Bag, 1)</f>
        <v>2</v>
      </c>
    </row>
    <row r="23" customFormat="false" ht="15" hidden="false" customHeight="true" outlineLevel="0" collapsed="false">
      <c r="A23" s="24" t="n">
        <v>12</v>
      </c>
      <c r="B23" s="25" t="n">
        <f aca="false">A23/12</f>
        <v>1</v>
      </c>
      <c r="C23" s="26" t="n">
        <f aca="false">MAX(Primary_Stump_Minimum, Primary_Stump_Minimum + Rate_Per_Inch * (A23 - Free_Diameter))</f>
        <v>100</v>
      </c>
      <c r="D23" s="26" t="n">
        <f aca="false">MAX(Addon_Stump_Minimum, Addon_Rate_Per_Inch * A23)</f>
        <v>60</v>
      </c>
      <c r="E23" s="24" t="n">
        <f aca="false">A23 + Root_Flare_Margin</f>
        <v>24</v>
      </c>
      <c r="F23" s="24" t="n">
        <f aca="false">CEILING(PI() * ((A23 + Root_Flare_Margin)/24)^2 * Backfill_Depth_Cap/12 / CuFt_Per_Bag, 1)</f>
        <v>2</v>
      </c>
      <c r="G23" s="24" t="n">
        <f aca="false">CEILING(PI() * ((A23 + Root_Flare_Margin)/24)^2 * Backfill_Depth_Full/12 / CuFt_Per_Bag, 1)</f>
        <v>3</v>
      </c>
    </row>
    <row r="24" customFormat="false" ht="15" hidden="false" customHeight="true" outlineLevel="0" collapsed="false">
      <c r="A24" s="24" t="n">
        <v>14</v>
      </c>
      <c r="B24" s="25" t="n">
        <f aca="false">A24/12</f>
        <v>1.16666666666667</v>
      </c>
      <c r="C24" s="26" t="n">
        <f aca="false">MAX(Primary_Stump_Minimum, Primary_Stump_Minimum + Rate_Per_Inch * (A24 - Free_Diameter))</f>
        <v>122</v>
      </c>
      <c r="D24" s="26" t="n">
        <f aca="false">MAX(Addon_Stump_Minimum, Addon_Rate_Per_Inch * A24)</f>
        <v>70</v>
      </c>
      <c r="E24" s="24" t="n">
        <f aca="false">A24 + Root_Flare_Margin</f>
        <v>26</v>
      </c>
      <c r="F24" s="24" t="n">
        <f aca="false">CEILING(PI() * ((A24 + Root_Flare_Margin)/24)^2 * Backfill_Depth_Cap/12 / CuFt_Per_Bag, 1)</f>
        <v>2</v>
      </c>
      <c r="G24" s="24" t="n">
        <f aca="false">CEILING(PI() * ((A24 + Root_Flare_Margin)/24)^2 * Backfill_Depth_Full/12 / CuFt_Per_Bag, 1)</f>
        <v>3</v>
      </c>
    </row>
    <row r="25" customFormat="false" ht="15" hidden="false" customHeight="true" outlineLevel="0" collapsed="false">
      <c r="A25" s="24" t="n">
        <v>18</v>
      </c>
      <c r="B25" s="25" t="n">
        <f aca="false">A25/12</f>
        <v>1.5</v>
      </c>
      <c r="C25" s="26" t="n">
        <f aca="false">MAX(Primary_Stump_Minimum, Primary_Stump_Minimum + Rate_Per_Inch * (A25 - Free_Diameter))</f>
        <v>166</v>
      </c>
      <c r="D25" s="26" t="n">
        <f aca="false">MAX(Addon_Stump_Minimum, Addon_Rate_Per_Inch * A25)</f>
        <v>90</v>
      </c>
      <c r="E25" s="24" t="n">
        <f aca="false">A25 + Root_Flare_Margin</f>
        <v>30</v>
      </c>
      <c r="F25" s="24" t="n">
        <f aca="false">CEILING(PI() * ((A25 + Root_Flare_Margin)/24)^2 * Backfill_Depth_Cap/12 / CuFt_Per_Bag, 1)</f>
        <v>2</v>
      </c>
      <c r="G25" s="24" t="n">
        <f aca="false">CEILING(PI() * ((A25 + Root_Flare_Margin)/24)^2 * Backfill_Depth_Full/12 / CuFt_Per_Bag, 1)</f>
        <v>4</v>
      </c>
    </row>
    <row r="26" customFormat="false" ht="15" hidden="false" customHeight="true" outlineLevel="0" collapsed="false">
      <c r="A26" s="24" t="n">
        <v>24</v>
      </c>
      <c r="B26" s="25" t="n">
        <f aca="false">A26/12</f>
        <v>2</v>
      </c>
      <c r="C26" s="26" t="n">
        <f aca="false">MAX(Primary_Stump_Minimum, Primary_Stump_Minimum + Rate_Per_Inch * (A26 - Free_Diameter))</f>
        <v>232</v>
      </c>
      <c r="D26" s="26" t="n">
        <f aca="false">MAX(Addon_Stump_Minimum, Addon_Rate_Per_Inch * A26)</f>
        <v>120</v>
      </c>
      <c r="E26" s="24" t="n">
        <f aca="false">A26 + Root_Flare_Margin</f>
        <v>36</v>
      </c>
      <c r="F26" s="24" t="n">
        <f aca="false">CEILING(PI() * ((A26 + Root_Flare_Margin)/24)^2 * Backfill_Depth_Cap/12 / CuFt_Per_Bag, 1)</f>
        <v>3</v>
      </c>
      <c r="G26" s="24" t="n">
        <f aca="false">CEILING(PI() * ((A26 + Root_Flare_Margin)/24)^2 * Backfill_Depth_Full/12 / CuFt_Per_Bag, 1)</f>
        <v>5</v>
      </c>
    </row>
    <row r="27" customFormat="false" ht="15" hidden="false" customHeight="true" outlineLevel="0" collapsed="false">
      <c r="A27" s="24" t="n">
        <v>30</v>
      </c>
      <c r="B27" s="25" t="n">
        <f aca="false">A27/12</f>
        <v>2.5</v>
      </c>
      <c r="C27" s="26" t="n">
        <f aca="false">MAX(Primary_Stump_Minimum, Primary_Stump_Minimum + Rate_Per_Inch * (A27 - Free_Diameter))</f>
        <v>298</v>
      </c>
      <c r="D27" s="26" t="n">
        <f aca="false">MAX(Addon_Stump_Minimum, Addon_Rate_Per_Inch * A27)</f>
        <v>150</v>
      </c>
      <c r="E27" s="24" t="n">
        <f aca="false">A27 + Root_Flare_Margin</f>
        <v>42</v>
      </c>
      <c r="F27" s="24" t="n">
        <f aca="false">CEILING(PI() * ((A27 + Root_Flare_Margin)/24)^2 * Backfill_Depth_Cap/12 / CuFt_Per_Bag, 1)</f>
        <v>4</v>
      </c>
      <c r="G27" s="24" t="n">
        <f aca="false">CEILING(PI() * ((A27 + Root_Flare_Margin)/24)^2 * Backfill_Depth_Full/12 / CuFt_Per_Bag, 1)</f>
        <v>7</v>
      </c>
    </row>
    <row r="28" customFormat="false" ht="15" hidden="false" customHeight="true" outlineLevel="0" collapsed="false">
      <c r="A28" s="24" t="n">
        <v>36</v>
      </c>
      <c r="B28" s="25" t="n">
        <f aca="false">A28/12</f>
        <v>3</v>
      </c>
      <c r="C28" s="26" t="n">
        <f aca="false">MAX(Primary_Stump_Minimum, Primary_Stump_Minimum + Rate_Per_Inch * (A28 - Free_Diameter))</f>
        <v>364</v>
      </c>
      <c r="D28" s="26" t="n">
        <f aca="false">MAX(Addon_Stump_Minimum, Addon_Rate_Per_Inch * A28)</f>
        <v>180</v>
      </c>
      <c r="E28" s="24" t="n">
        <f aca="false">A28 + Root_Flare_Margin</f>
        <v>48</v>
      </c>
      <c r="F28" s="24" t="n">
        <f aca="false">CEILING(PI() * ((A28 + Root_Flare_Margin)/24)^2 * Backfill_Depth_Cap/12 / CuFt_Per_Bag, 1)</f>
        <v>5</v>
      </c>
      <c r="G28" s="24" t="n">
        <f aca="false">CEILING(PI() * ((A28 + Root_Flare_Margin)/24)^2 * Backfill_Depth_Full/12 / CuFt_Per_Bag, 1)</f>
        <v>9</v>
      </c>
    </row>
    <row r="29" customFormat="false" ht="15" hidden="false" customHeight="true" outlineLevel="0" collapsed="false">
      <c r="A29" s="24" t="n">
        <v>48</v>
      </c>
      <c r="B29" s="25" t="n">
        <f aca="false">A29/12</f>
        <v>4</v>
      </c>
      <c r="C29" s="26" t="n">
        <f aca="false">MAX(Primary_Stump_Minimum, Primary_Stump_Minimum + Rate_Per_Inch * (A29 - Free_Diameter))</f>
        <v>496</v>
      </c>
      <c r="D29" s="26" t="n">
        <f aca="false">MAX(Addon_Stump_Minimum, Addon_Rate_Per_Inch * A29)</f>
        <v>240</v>
      </c>
      <c r="E29" s="24" t="n">
        <f aca="false">A29 + Root_Flare_Margin</f>
        <v>60</v>
      </c>
      <c r="F29" s="24" t="n">
        <f aca="false">CEILING(PI() * ((A29 + Root_Flare_Margin)/24)^2 * Backfill_Depth_Cap/12 / CuFt_Per_Bag, 1)</f>
        <v>7</v>
      </c>
      <c r="G29" s="24" t="n">
        <f aca="false">CEILING(PI() * ((A29 + Root_Flare_Margin)/24)^2 * Backfill_Depth_Full/12 / CuFt_Per_Bag, 1)</f>
        <v>14</v>
      </c>
    </row>
    <row r="30" customFormat="false" ht="15" hidden="false" customHeight="true" outlineLevel="0" collapsed="false">
      <c r="A30" s="24" t="n">
        <v>60</v>
      </c>
      <c r="B30" s="25" t="n">
        <f aca="false">A30/12</f>
        <v>5</v>
      </c>
      <c r="C30" s="26" t="n">
        <f aca="false">MAX(Primary_Stump_Minimum, Primary_Stump_Minimum + Rate_Per_Inch * (A30 - Free_Diameter))</f>
        <v>628</v>
      </c>
      <c r="D30" s="26" t="n">
        <f aca="false">MAX(Addon_Stump_Minimum, Addon_Rate_Per_Inch * A30)</f>
        <v>300</v>
      </c>
      <c r="E30" s="24" t="n">
        <f aca="false">A30 + Root_Flare_Margin</f>
        <v>72</v>
      </c>
      <c r="F30" s="24" t="n">
        <f aca="false">CEILING(PI() * ((A30 + Root_Flare_Margin)/24)^2 * Backfill_Depth_Cap/12 / CuFt_Per_Bag, 1)</f>
        <v>10</v>
      </c>
      <c r="G30" s="24" t="n">
        <f aca="false">CEILING(PI() * ((A30 + Root_Flare_Margin)/24)^2 * Backfill_Depth_Full/12 / CuFt_Per_Bag, 1)</f>
        <v>19</v>
      </c>
    </row>
    <row r="33" customFormat="false" ht="15" hidden="false" customHeight="true" outlineLevel="0" collapsed="false">
      <c r="A33" s="21" t="s">
        <v>447</v>
      </c>
      <c r="B33" s="21"/>
      <c r="C33" s="21"/>
      <c r="D33" s="21"/>
      <c r="E33" s="21"/>
      <c r="F33" s="21"/>
      <c r="G33" s="21"/>
    </row>
    <row r="34" customFormat="false" ht="30" hidden="false" customHeight="true" outlineLevel="0" collapsed="false">
      <c r="A34" s="12" t="s">
        <v>448</v>
      </c>
      <c r="B34" s="12"/>
      <c r="C34" s="12"/>
      <c r="D34" s="12"/>
      <c r="E34" s="12"/>
      <c r="F34" s="12"/>
      <c r="G34" s="12"/>
    </row>
    <row r="35" customFormat="false" ht="21.75" hidden="false" customHeight="true" outlineLevel="0" collapsed="false">
      <c r="A35" s="6" t="s">
        <v>449</v>
      </c>
      <c r="B35" s="6" t="s">
        <v>450</v>
      </c>
      <c r="C35" s="6" t="s">
        <v>451</v>
      </c>
    </row>
    <row r="36" customFormat="false" ht="15" hidden="false" customHeight="true" outlineLevel="0" collapsed="false">
      <c r="A36" s="24" t="n">
        <v>14</v>
      </c>
      <c r="B36" s="24" t="str">
        <f aca="false">IF(A36="","",IF(A36=MAX($A$36:$A$45),"PRIMARY","Add-on"))</f>
        <v>PRIMARY</v>
      </c>
      <c r="C36" s="26" t="n">
        <f aca="false">IF(A36="","",IF(B36="PRIMARY",MAX(Primary_Stump_Minimum, Primary_Stump_Minimum + Rate_Per_Inch * (A36 - Free_Diameter)),MAX(Addon_Stump_Minimum, Addon_Rate_Per_Inch * A36)))</f>
        <v>122</v>
      </c>
    </row>
    <row r="37" customFormat="false" ht="15" hidden="false" customHeight="true" outlineLevel="0" collapsed="false">
      <c r="A37" s="24" t="n">
        <v>10</v>
      </c>
      <c r="B37" s="24" t="str">
        <f aca="false">IF(A37="","",IF(A37=MAX($A$36:$A$45),"PRIMARY","Add-on"))</f>
        <v>Add-on</v>
      </c>
      <c r="C37" s="26" t="n">
        <f aca="false">IF(A37="","",IF(B37="PRIMARY",MAX(Primary_Stump_Minimum, Primary_Stump_Minimum + Rate_Per_Inch * (A37 - Free_Diameter)),MAX(Addon_Stump_Minimum, Addon_Rate_Per_Inch * A37)))</f>
        <v>50</v>
      </c>
    </row>
    <row r="38" customFormat="false" ht="15" hidden="false" customHeight="true" outlineLevel="0" collapsed="false">
      <c r="A38" s="24" t="n">
        <v>8</v>
      </c>
      <c r="B38" s="24" t="str">
        <f aca="false">IF(A38="","",IF(A38=MAX($A$36:$A$45),"PRIMARY","Add-on"))</f>
        <v>Add-on</v>
      </c>
      <c r="C38" s="26" t="n">
        <f aca="false">IF(A38="","",IF(B38="PRIMARY",MAX(Primary_Stump_Minimum, Primary_Stump_Minimum + Rate_Per_Inch * (A38 - Free_Diameter)),MAX(Addon_Stump_Minimum, Addon_Rate_Per_Inch * A38)))</f>
        <v>40</v>
      </c>
    </row>
    <row r="39" customFormat="false" ht="15" hidden="false" customHeight="true" outlineLevel="0" collapsed="false">
      <c r="A39" s="24" t="n">
        <v>6</v>
      </c>
      <c r="B39" s="24" t="str">
        <f aca="false">IF(A39="","",IF(A39=MAX($A$36:$A$45),"PRIMARY","Add-on"))</f>
        <v>Add-on</v>
      </c>
      <c r="C39" s="26" t="n">
        <f aca="false">IF(A39="","",IF(B39="PRIMARY",MAX(Primary_Stump_Minimum, Primary_Stump_Minimum + Rate_Per_Inch * (A39 - Free_Diameter)),MAX(Addon_Stump_Minimum, Addon_Rate_Per_Inch * A39)))</f>
        <v>30</v>
      </c>
    </row>
    <row r="40" customFormat="false" ht="15" hidden="false" customHeight="true" outlineLevel="0" collapsed="false">
      <c r="A40" s="24" t="n">
        <v>5</v>
      </c>
      <c r="B40" s="24" t="str">
        <f aca="false">IF(A40="","",IF(A40=MAX($A$36:$A$45),"PRIMARY","Add-on"))</f>
        <v>Add-on</v>
      </c>
      <c r="C40" s="26" t="n">
        <f aca="false">IF(A40="","",IF(B40="PRIMARY",MAX(Primary_Stump_Minimum, Primary_Stump_Minimum + Rate_Per_Inch * (A40 - Free_Diameter)),MAX(Addon_Stump_Minimum, Addon_Rate_Per_Inch * A40)))</f>
        <v>25</v>
      </c>
    </row>
    <row r="41" customFormat="false" ht="15" hidden="false" customHeight="true" outlineLevel="0" collapsed="false">
      <c r="A41" s="24"/>
      <c r="B41" s="24" t="str">
        <f aca="false">IF(A41="","",IF(A41=MAX($A$36:$A$45),"PRIMARY","Add-on"))</f>
        <v/>
      </c>
      <c r="C41" s="26" t="str">
        <f aca="false">IF(A41="","",IF(B41="PRIMARY",MAX(Primary_Stump_Minimum, Primary_Stump_Minimum + Rate_Per_Inch * (A41 - Free_Diameter)),MAX(Addon_Stump_Minimum, Addon_Rate_Per_Inch * A41)))</f>
        <v/>
      </c>
    </row>
    <row r="42" customFormat="false" ht="15" hidden="false" customHeight="true" outlineLevel="0" collapsed="false">
      <c r="A42" s="24"/>
      <c r="B42" s="24" t="str">
        <f aca="false">IF(A42="","",IF(A42=MAX($A$36:$A$45),"PRIMARY","Add-on"))</f>
        <v/>
      </c>
      <c r="C42" s="26" t="str">
        <f aca="false">IF(A42="","",IF(B42="PRIMARY",MAX(Primary_Stump_Minimum, Primary_Stump_Minimum + Rate_Per_Inch * (A42 - Free_Diameter)),MAX(Addon_Stump_Minimum, Addon_Rate_Per_Inch * A42)))</f>
        <v/>
      </c>
    </row>
    <row r="43" customFormat="false" ht="15" hidden="false" customHeight="true" outlineLevel="0" collapsed="false">
      <c r="A43" s="24"/>
      <c r="B43" s="24" t="str">
        <f aca="false">IF(A43="","",IF(A43=MAX($A$36:$A$45),"PRIMARY","Add-on"))</f>
        <v/>
      </c>
      <c r="C43" s="26" t="str">
        <f aca="false">IF(A43="","",IF(B43="PRIMARY",MAX(Primary_Stump_Minimum, Primary_Stump_Minimum + Rate_Per_Inch * (A43 - Free_Diameter)),MAX(Addon_Stump_Minimum, Addon_Rate_Per_Inch * A43)))</f>
        <v/>
      </c>
    </row>
    <row r="44" customFormat="false" ht="15" hidden="false" customHeight="true" outlineLevel="0" collapsed="false">
      <c r="A44" s="24"/>
      <c r="B44" s="24" t="str">
        <f aca="false">IF(A44="","",IF(A44=MAX($A$36:$A$45),"PRIMARY","Add-on"))</f>
        <v/>
      </c>
      <c r="C44" s="26" t="str">
        <f aca="false">IF(A44="","",IF(B44="PRIMARY",MAX(Primary_Stump_Minimum, Primary_Stump_Minimum + Rate_Per_Inch * (A44 - Free_Diameter)),MAX(Addon_Stump_Minimum, Addon_Rate_Per_Inch * A44)))</f>
        <v/>
      </c>
    </row>
    <row r="45" customFormat="false" ht="15" hidden="false" customHeight="true" outlineLevel="0" collapsed="false">
      <c r="A45" s="24"/>
      <c r="B45" s="24" t="str">
        <f aca="false">IF(A45="","",IF(A45=MAX($A$36:$A$45),"PRIMARY","Add-on"))</f>
        <v/>
      </c>
      <c r="C45" s="26" t="str">
        <f aca="false">IF(A45="","",IF(B45="PRIMARY",MAX(Primary_Stump_Minimum, Primary_Stump_Minimum + Rate_Per_Inch * (A45 - Free_Diameter)),MAX(Addon_Stump_Minimum, Addon_Rate_Per_Inch * A45)))</f>
        <v/>
      </c>
    </row>
    <row r="46" customFormat="false" ht="15" hidden="false" customHeight="true" outlineLevel="0" collapsed="false">
      <c r="A46" s="27" t="s">
        <v>452</v>
      </c>
      <c r="B46" s="28"/>
      <c r="C46" s="29" t="n">
        <f aca="false">SUM(C36:C45)</f>
        <v>267</v>
      </c>
    </row>
  </sheetData>
  <mergeCells count="16">
    <mergeCell ref="A2:G2"/>
    <mergeCell ref="A4:G4"/>
    <mergeCell ref="B5:G5"/>
    <mergeCell ref="B6:G6"/>
    <mergeCell ref="B7:G7"/>
    <mergeCell ref="B8:G8"/>
    <mergeCell ref="B9:G9"/>
    <mergeCell ref="B10:G10"/>
    <mergeCell ref="A12:G12"/>
    <mergeCell ref="A13:G13"/>
    <mergeCell ref="A14:G14"/>
    <mergeCell ref="A15:G15"/>
    <mergeCell ref="A16:G16"/>
    <mergeCell ref="A18:G18"/>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4" min="3" style="1" width="18"/>
    <col collapsed="false" customWidth="true" hidden="false" outlineLevel="0" max="5" min="5" style="1" width="22"/>
    <col collapsed="false" customWidth="true" hidden="false" outlineLevel="0" max="7" min="6" style="1" width="18"/>
  </cols>
  <sheetData>
    <row r="1" customFormat="false" ht="17.25" hidden="false" customHeight="true" outlineLevel="0" collapsed="false">
      <c r="A1" s="2" t="s">
        <v>453</v>
      </c>
    </row>
    <row r="2" customFormat="false" ht="60" hidden="false" customHeight="true" outlineLevel="0" collapsed="false">
      <c r="A2" s="12" t="s">
        <v>454</v>
      </c>
      <c r="B2" s="12"/>
      <c r="C2" s="12"/>
      <c r="D2" s="12"/>
      <c r="E2" s="12"/>
      <c r="F2" s="12"/>
      <c r="G2" s="12"/>
    </row>
    <row r="4" customFormat="false" ht="15" hidden="false" customHeight="true" outlineLevel="0" collapsed="false">
      <c r="A4" s="21" t="s">
        <v>455</v>
      </c>
      <c r="B4" s="21"/>
      <c r="C4" s="21"/>
      <c r="D4" s="21"/>
      <c r="E4" s="21"/>
      <c r="F4" s="21"/>
      <c r="G4" s="21"/>
    </row>
    <row r="5" customFormat="false" ht="37.5" hidden="false" customHeight="true" outlineLevel="0" collapsed="false">
      <c r="A5" s="22" t="s">
        <v>456</v>
      </c>
      <c r="B5" s="23" t="s">
        <v>457</v>
      </c>
      <c r="C5" s="23"/>
      <c r="D5" s="23"/>
      <c r="E5" s="23"/>
      <c r="F5" s="23"/>
      <c r="G5" s="23"/>
    </row>
    <row r="6" customFormat="false" ht="37.5" hidden="false" customHeight="true" outlineLevel="0" collapsed="false">
      <c r="A6" s="22" t="s">
        <v>427</v>
      </c>
      <c r="B6" s="20" t="s">
        <v>458</v>
      </c>
      <c r="C6" s="20"/>
      <c r="D6" s="20"/>
      <c r="E6" s="20"/>
      <c r="F6" s="20"/>
      <c r="G6" s="20"/>
    </row>
    <row r="7" customFormat="false" ht="37.5" hidden="false" customHeight="true" outlineLevel="0" collapsed="false">
      <c r="A7" s="22" t="s">
        <v>459</v>
      </c>
      <c r="B7" s="20" t="s">
        <v>460</v>
      </c>
      <c r="C7" s="20"/>
      <c r="D7" s="20"/>
      <c r="E7" s="20"/>
      <c r="F7" s="20"/>
      <c r="G7" s="20"/>
    </row>
    <row r="8" customFormat="false" ht="37.5" hidden="false" customHeight="true" outlineLevel="0" collapsed="false">
      <c r="A8" s="22" t="s">
        <v>461</v>
      </c>
      <c r="B8" s="20" t="s">
        <v>462</v>
      </c>
      <c r="C8" s="20"/>
      <c r="D8" s="20"/>
      <c r="E8" s="20"/>
      <c r="F8" s="20"/>
      <c r="G8" s="20"/>
    </row>
    <row r="9" customFormat="false" ht="37.5" hidden="false" customHeight="true" outlineLevel="0" collapsed="false">
      <c r="A9" s="22" t="s">
        <v>463</v>
      </c>
      <c r="B9" s="23" t="s">
        <v>464</v>
      </c>
      <c r="C9" s="23"/>
      <c r="D9" s="23"/>
      <c r="E9" s="23"/>
      <c r="F9" s="23"/>
      <c r="G9" s="23"/>
    </row>
    <row r="11" customFormat="false" ht="15" hidden="false" customHeight="true" outlineLevel="0" collapsed="false">
      <c r="A11" s="21" t="s">
        <v>465</v>
      </c>
      <c r="B11" s="21"/>
      <c r="C11" s="21"/>
      <c r="D11" s="21"/>
      <c r="E11" s="21"/>
      <c r="F11" s="21"/>
      <c r="G11" s="21"/>
    </row>
    <row r="12" customFormat="false" ht="21.75" hidden="false" customHeight="true" outlineLevel="0" collapsed="false">
      <c r="A12" s="6" t="s">
        <v>466</v>
      </c>
      <c r="B12" s="6" t="s">
        <v>467</v>
      </c>
      <c r="C12" s="6" t="s">
        <v>468</v>
      </c>
      <c r="D12" s="6" t="s">
        <v>62</v>
      </c>
      <c r="E12" s="6"/>
      <c r="F12" s="6"/>
      <c r="G12" s="6"/>
    </row>
    <row r="13" customFormat="false" ht="15" hidden="false" customHeight="true" outlineLevel="0" collapsed="false">
      <c r="A13" s="30" t="n">
        <v>10</v>
      </c>
      <c r="B13" s="26" t="n">
        <f aca="false">Tree_Removal_Floor_Per_Foot * A13</f>
        <v>100</v>
      </c>
      <c r="C13" s="24" t="s">
        <v>469</v>
      </c>
      <c r="D13" s="7" t="s">
        <v>470</v>
      </c>
      <c r="E13" s="7"/>
      <c r="F13" s="7"/>
      <c r="G13" s="7"/>
    </row>
    <row r="14" customFormat="false" ht="15" hidden="false" customHeight="true" outlineLevel="0" collapsed="false">
      <c r="A14" s="30" t="n">
        <v>15</v>
      </c>
      <c r="B14" s="26" t="n">
        <f aca="false">Tree_Removal_Floor_Per_Foot * A14</f>
        <v>150</v>
      </c>
      <c r="C14" s="24" t="s">
        <v>471</v>
      </c>
      <c r="D14" s="7" t="s">
        <v>472</v>
      </c>
      <c r="E14" s="7"/>
      <c r="F14" s="7"/>
      <c r="G14" s="7"/>
    </row>
    <row r="15" customFormat="false" ht="15" hidden="false" customHeight="true" outlineLevel="0" collapsed="false">
      <c r="A15" s="30" t="n">
        <v>20</v>
      </c>
      <c r="B15" s="26" t="n">
        <f aca="false">Tree_Removal_Floor_Per_Foot * A15</f>
        <v>200</v>
      </c>
      <c r="C15" s="24" t="s">
        <v>473</v>
      </c>
      <c r="D15" s="7" t="s">
        <v>474</v>
      </c>
      <c r="E15" s="7"/>
      <c r="F15" s="7"/>
      <c r="G15" s="7"/>
    </row>
    <row r="16" customFormat="false" ht="15" hidden="false" customHeight="true" outlineLevel="0" collapsed="false">
      <c r="A16" s="30" t="n">
        <v>25</v>
      </c>
      <c r="B16" s="26" t="n">
        <f aca="false">Tree_Removal_Floor_Per_Foot * A16</f>
        <v>250</v>
      </c>
      <c r="C16" s="24" t="s">
        <v>475</v>
      </c>
      <c r="D16" s="7" t="s">
        <v>476</v>
      </c>
      <c r="E16" s="7"/>
      <c r="F16" s="7"/>
      <c r="G16" s="7"/>
    </row>
    <row r="17" customFormat="false" ht="15" hidden="false" customHeight="true" outlineLevel="0" collapsed="false">
      <c r="A17" s="30" t="n">
        <v>30</v>
      </c>
      <c r="B17" s="26" t="n">
        <f aca="false">Tree_Removal_Floor_Per_Foot * A17</f>
        <v>300</v>
      </c>
      <c r="C17" s="24" t="s">
        <v>477</v>
      </c>
      <c r="D17" s="7" t="s">
        <v>478</v>
      </c>
      <c r="E17" s="7"/>
      <c r="F17" s="7"/>
      <c r="G17" s="7"/>
    </row>
    <row r="18" customFormat="false" ht="15" hidden="false" customHeight="true" outlineLevel="0" collapsed="false">
      <c r="A18" s="30" t="n">
        <v>40</v>
      </c>
      <c r="B18" s="26" t="n">
        <f aca="false">Tree_Removal_Floor_Per_Foot * A18</f>
        <v>400</v>
      </c>
      <c r="C18" s="24" t="s">
        <v>479</v>
      </c>
      <c r="D18" s="7" t="s">
        <v>480</v>
      </c>
      <c r="E18" s="7"/>
      <c r="F18" s="7"/>
      <c r="G18" s="7"/>
    </row>
    <row r="19" customFormat="false" ht="15" hidden="false" customHeight="true" outlineLevel="0" collapsed="false">
      <c r="A19" s="30" t="n">
        <v>50</v>
      </c>
      <c r="B19" s="26" t="n">
        <f aca="false">Tree_Removal_Floor_Per_Foot * A19</f>
        <v>500</v>
      </c>
      <c r="C19" s="24" t="s">
        <v>481</v>
      </c>
      <c r="D19" s="7" t="s">
        <v>482</v>
      </c>
      <c r="E19" s="7"/>
      <c r="F19" s="7"/>
      <c r="G19" s="7"/>
    </row>
    <row r="20" customFormat="false" ht="15" hidden="false" customHeight="true" outlineLevel="0" collapsed="false">
      <c r="A20" s="30" t="n">
        <v>60</v>
      </c>
      <c r="B20" s="26" t="n">
        <f aca="false">Tree_Removal_Floor_Per_Foot * A20</f>
        <v>600</v>
      </c>
      <c r="C20" s="24" t="s">
        <v>483</v>
      </c>
      <c r="D20" s="7" t="s">
        <v>484</v>
      </c>
      <c r="E20" s="7"/>
      <c r="F20" s="7"/>
      <c r="G20" s="7"/>
    </row>
    <row r="21" customFormat="false" ht="15" hidden="false" customHeight="true" outlineLevel="0" collapsed="false">
      <c r="A21" s="30" t="n">
        <v>75</v>
      </c>
      <c r="B21" s="26" t="n">
        <f aca="false">Tree_Removal_Floor_Per_Foot * A21</f>
        <v>750</v>
      </c>
      <c r="C21" s="24" t="s">
        <v>485</v>
      </c>
      <c r="D21" s="7" t="s">
        <v>486</v>
      </c>
      <c r="E21" s="7"/>
      <c r="F21" s="7"/>
      <c r="G21" s="7"/>
    </row>
    <row r="22" customFormat="false" ht="15" hidden="false" customHeight="true" outlineLevel="0" collapsed="false">
      <c r="A22" s="30" t="n">
        <v>100</v>
      </c>
      <c r="B22" s="26" t="n">
        <f aca="false">Tree_Removal_Floor_Per_Foot * A22</f>
        <v>1000</v>
      </c>
      <c r="C22" s="24" t="s">
        <v>487</v>
      </c>
      <c r="D22" s="7" t="s">
        <v>488</v>
      </c>
      <c r="E22" s="7"/>
      <c r="F22" s="7"/>
      <c r="G22" s="7"/>
    </row>
    <row r="24" customFormat="false" ht="15" hidden="false" customHeight="true" outlineLevel="0" collapsed="false">
      <c r="A24" s="21" t="s">
        <v>489</v>
      </c>
      <c r="B24" s="21"/>
      <c r="C24" s="21"/>
      <c r="D24" s="21"/>
      <c r="E24" s="21"/>
      <c r="F24" s="21"/>
      <c r="G24" s="21"/>
    </row>
    <row r="25" customFormat="false" ht="45" hidden="false" customHeight="true" outlineLevel="0" collapsed="false">
      <c r="A25" s="22" t="s">
        <v>456</v>
      </c>
      <c r="B25" s="23" t="s">
        <v>490</v>
      </c>
      <c r="C25" s="23"/>
      <c r="D25" s="23"/>
      <c r="E25" s="23"/>
      <c r="F25" s="23"/>
      <c r="G25" s="23"/>
    </row>
    <row r="26" customFormat="false" ht="45" hidden="false" customHeight="true" outlineLevel="0" collapsed="false">
      <c r="A26" s="22" t="s">
        <v>491</v>
      </c>
      <c r="B26" s="20" t="s">
        <v>492</v>
      </c>
      <c r="C26" s="20"/>
      <c r="D26" s="20"/>
      <c r="E26" s="20"/>
      <c r="F26" s="20"/>
      <c r="G26" s="20"/>
    </row>
    <row r="27" customFormat="false" ht="45" hidden="false" customHeight="true" outlineLevel="0" collapsed="false">
      <c r="A27" s="22" t="s">
        <v>493</v>
      </c>
      <c r="B27" s="20" t="s">
        <v>494</v>
      </c>
      <c r="C27" s="20"/>
      <c r="D27" s="20"/>
      <c r="E27" s="20"/>
      <c r="F27" s="20"/>
      <c r="G27" s="20"/>
    </row>
    <row r="28" customFormat="false" ht="45" hidden="false" customHeight="true" outlineLevel="0" collapsed="false">
      <c r="A28" s="22" t="s">
        <v>495</v>
      </c>
      <c r="B28" s="23" t="s">
        <v>496</v>
      </c>
      <c r="C28" s="23"/>
      <c r="D28" s="23"/>
      <c r="E28" s="23"/>
      <c r="F28" s="23"/>
      <c r="G28" s="23"/>
    </row>
    <row r="29" customFormat="false" ht="45" hidden="false" customHeight="true" outlineLevel="0" collapsed="false">
      <c r="A29" s="22" t="s">
        <v>497</v>
      </c>
      <c r="B29" s="20" t="s">
        <v>498</v>
      </c>
      <c r="C29" s="20"/>
      <c r="D29" s="20"/>
      <c r="E29" s="20"/>
      <c r="F29" s="20"/>
      <c r="G29" s="20"/>
    </row>
    <row r="30" customFormat="false" ht="45" hidden="false" customHeight="true" outlineLevel="0" collapsed="false">
      <c r="A30" s="22" t="s">
        <v>499</v>
      </c>
      <c r="B30" s="20" t="s">
        <v>500</v>
      </c>
      <c r="C30" s="20"/>
      <c r="D30" s="20"/>
      <c r="E30" s="20"/>
      <c r="F30" s="20"/>
      <c r="G30" s="20"/>
    </row>
    <row r="32" customFormat="false" ht="15" hidden="false" customHeight="true" outlineLevel="0" collapsed="false">
      <c r="A32" s="21" t="s">
        <v>501</v>
      </c>
      <c r="B32" s="21"/>
      <c r="C32" s="21"/>
      <c r="D32" s="21"/>
      <c r="E32" s="21"/>
      <c r="F32" s="21"/>
      <c r="G32" s="21"/>
    </row>
    <row r="33" customFormat="false" ht="21.75" hidden="false" customHeight="true" outlineLevel="0" collapsed="false">
      <c r="A33" s="6" t="s">
        <v>502</v>
      </c>
      <c r="B33" s="6" t="s">
        <v>503</v>
      </c>
      <c r="C33" s="6" t="s">
        <v>504</v>
      </c>
      <c r="D33" s="6" t="s">
        <v>505</v>
      </c>
      <c r="E33" s="6" t="s">
        <v>62</v>
      </c>
      <c r="F33" s="6"/>
      <c r="G33" s="6"/>
    </row>
    <row r="34" customFormat="false" ht="15" hidden="false" customHeight="true" outlineLevel="0" collapsed="false">
      <c r="A34" s="30" t="n">
        <v>4</v>
      </c>
      <c r="B34" s="30" t="n">
        <v>12</v>
      </c>
      <c r="C34" s="24" t="str">
        <f aca="false">IF(A34&gt;=Limb_As_Tree_Threshold, "YES", "No")</f>
        <v>No</v>
      </c>
      <c r="D34" s="26" t="n">
        <f aca="false">IF(A34&gt;=Limb_As_Tree_Threshold, Tree_Removal_Floor_Per_Foot * B34, 0)</f>
        <v>0</v>
      </c>
      <c r="E34" s="7" t="s">
        <v>506</v>
      </c>
      <c r="F34" s="7"/>
      <c r="G34" s="7"/>
    </row>
    <row r="35" customFormat="false" ht="15" hidden="false" customHeight="true" outlineLevel="0" collapsed="false">
      <c r="A35" s="30" t="n">
        <v>6</v>
      </c>
      <c r="B35" s="30" t="n">
        <v>15</v>
      </c>
      <c r="C35" s="24" t="str">
        <f aca="false">IF(A35&gt;=Limb_As_Tree_Threshold, "YES", "No")</f>
        <v>No</v>
      </c>
      <c r="D35" s="26" t="n">
        <f aca="false">IF(A35&gt;=Limb_As_Tree_Threshold, Tree_Removal_Floor_Per_Foot * B35, 0)</f>
        <v>0</v>
      </c>
      <c r="E35" s="7" t="s">
        <v>506</v>
      </c>
      <c r="F35" s="7"/>
      <c r="G35" s="7"/>
    </row>
    <row r="36" customFormat="false" ht="15" hidden="false" customHeight="true" outlineLevel="0" collapsed="false">
      <c r="A36" s="30" t="n">
        <v>8</v>
      </c>
      <c r="B36" s="30" t="n">
        <v>18</v>
      </c>
      <c r="C36" s="24" t="str">
        <f aca="false">IF(A36&gt;=Limb_As_Tree_Threshold, "YES", "No")</f>
        <v>YES</v>
      </c>
      <c r="D36" s="26" t="n">
        <f aca="false">IF(A36&gt;=Limb_As_Tree_Threshold, Tree_Removal_Floor_Per_Foot * B36, 0)</f>
        <v>180</v>
      </c>
      <c r="E36" s="7" t="s">
        <v>507</v>
      </c>
      <c r="F36" s="7"/>
      <c r="G36" s="7"/>
    </row>
    <row r="37" customFormat="false" ht="15" hidden="false" customHeight="true" outlineLevel="0" collapsed="false">
      <c r="A37" s="30" t="n">
        <v>10</v>
      </c>
      <c r="B37" s="30" t="n">
        <v>20</v>
      </c>
      <c r="C37" s="24" t="str">
        <f aca="false">IF(A37&gt;=Limb_As_Tree_Threshold, "YES", "No")</f>
        <v>YES</v>
      </c>
      <c r="D37" s="26" t="n">
        <f aca="false">IF(A37&gt;=Limb_As_Tree_Threshold, Tree_Removal_Floor_Per_Foot * B37, 0)</f>
        <v>200</v>
      </c>
      <c r="E37" s="7" t="s">
        <v>508</v>
      </c>
      <c r="F37" s="7"/>
      <c r="G37" s="7"/>
    </row>
    <row r="38" customFormat="false" ht="15" hidden="false" customHeight="true" outlineLevel="0" collapsed="false">
      <c r="A38" s="30" t="n">
        <v>12</v>
      </c>
      <c r="B38" s="30" t="n">
        <v>25</v>
      </c>
      <c r="C38" s="24" t="str">
        <f aca="false">IF(A38&gt;=Limb_As_Tree_Threshold, "YES", "No")</f>
        <v>YES</v>
      </c>
      <c r="D38" s="26" t="n">
        <f aca="false">IF(A38&gt;=Limb_As_Tree_Threshold, Tree_Removal_Floor_Per_Foot * B38, 0)</f>
        <v>250</v>
      </c>
      <c r="E38" s="7" t="s">
        <v>509</v>
      </c>
      <c r="F38" s="7"/>
      <c r="G38" s="7"/>
    </row>
    <row r="39" customFormat="false" ht="15" hidden="false" customHeight="true" outlineLevel="0" collapsed="false">
      <c r="A39" s="30" t="n">
        <v>16</v>
      </c>
      <c r="B39" s="30" t="n">
        <v>30</v>
      </c>
      <c r="C39" s="24" t="str">
        <f aca="false">IF(A39&gt;=Limb_As_Tree_Threshold, "YES", "No")</f>
        <v>YES</v>
      </c>
      <c r="D39" s="26" t="n">
        <f aca="false">IF(A39&gt;=Limb_As_Tree_Threshold, Tree_Removal_Floor_Per_Foot * B39, 0)</f>
        <v>300</v>
      </c>
      <c r="E39" s="7" t="s">
        <v>510</v>
      </c>
      <c r="F39" s="7"/>
      <c r="G39" s="7"/>
    </row>
    <row r="40" customFormat="false" ht="15" hidden="false" customHeight="true" outlineLevel="0" collapsed="false">
      <c r="A40" s="30" t="n">
        <v>20</v>
      </c>
      <c r="B40" s="30" t="n">
        <v>35</v>
      </c>
      <c r="C40" s="24" t="str">
        <f aca="false">IF(A40&gt;=Limb_As_Tree_Threshold, "YES", "No")</f>
        <v>YES</v>
      </c>
      <c r="D40" s="26" t="n">
        <f aca="false">IF(A40&gt;=Limb_As_Tree_Threshold, Tree_Removal_Floor_Per_Foot * B40, 0)</f>
        <v>350</v>
      </c>
      <c r="E40" s="7" t="s">
        <v>511</v>
      </c>
      <c r="F40" s="7"/>
      <c r="G40" s="7"/>
    </row>
    <row r="43" customFormat="false" ht="15" hidden="false" customHeight="true" outlineLevel="0" collapsed="false">
      <c r="A43" s="21" t="s">
        <v>512</v>
      </c>
      <c r="B43" s="21"/>
      <c r="C43" s="21"/>
      <c r="D43" s="21"/>
      <c r="E43" s="21"/>
      <c r="F43" s="21"/>
      <c r="G43" s="21"/>
    </row>
    <row r="44" customFormat="false" ht="24.75" hidden="false" customHeight="true" outlineLevel="0" collapsed="false">
      <c r="A44" s="12" t="s">
        <v>513</v>
      </c>
      <c r="B44" s="12"/>
      <c r="C44" s="12"/>
      <c r="D44" s="12"/>
      <c r="E44" s="12"/>
      <c r="F44" s="12"/>
      <c r="G44" s="12"/>
    </row>
    <row r="45" customFormat="false" ht="21.75" hidden="false" customHeight="true" outlineLevel="0" collapsed="false">
      <c r="A45" s="6" t="s">
        <v>466</v>
      </c>
      <c r="B45" s="6" t="s">
        <v>514</v>
      </c>
      <c r="C45" s="6" t="s">
        <v>515</v>
      </c>
      <c r="D45" s="6" t="s">
        <v>516</v>
      </c>
      <c r="E45" s="6" t="s">
        <v>517</v>
      </c>
      <c r="F45" s="6"/>
      <c r="G45" s="6"/>
    </row>
    <row r="46" customFormat="false" ht="15" hidden="false" customHeight="true" outlineLevel="0" collapsed="false">
      <c r="A46" s="24" t="n">
        <v>15</v>
      </c>
      <c r="B46" s="26" t="n">
        <v>200</v>
      </c>
      <c r="C46" s="26" t="n">
        <f aca="false">Tree_Removal_Floor_Per_Foot * A46</f>
        <v>150</v>
      </c>
      <c r="D46" s="31" t="n">
        <f aca="false">MAX(B46, C46)</f>
        <v>200</v>
      </c>
      <c r="E46" s="7" t="str">
        <f aca="false">IF(B46&gt;=C46, "Hourly buildup", "FLOOR (review job — buildup may be too low)")</f>
        <v>Hourly buildup</v>
      </c>
      <c r="F46" s="7"/>
      <c r="G46" s="7"/>
    </row>
    <row r="47" customFormat="false" ht="15" hidden="false" customHeight="true" outlineLevel="0" collapsed="false">
      <c r="A47" s="24" t="n">
        <v>30</v>
      </c>
      <c r="B47" s="26" t="n">
        <v>1800</v>
      </c>
      <c r="C47" s="26" t="n">
        <f aca="false">Tree_Removal_Floor_Per_Foot * A47</f>
        <v>300</v>
      </c>
      <c r="D47" s="31" t="n">
        <f aca="false">MAX(B47, C47)</f>
        <v>1800</v>
      </c>
      <c r="E47" s="7" t="str">
        <f aca="false">IF(B47&gt;=C47, "Hourly buildup", "FLOOR (review job — buildup may be too low)")</f>
        <v>Hourly buildup</v>
      </c>
      <c r="F47" s="7"/>
      <c r="G47" s="7"/>
    </row>
    <row r="48" customFormat="false" ht="15" hidden="false" customHeight="true" outlineLevel="0" collapsed="false">
      <c r="A48" s="24" t="n">
        <v>50</v>
      </c>
      <c r="B48" s="26" t="n">
        <v>350</v>
      </c>
      <c r="C48" s="26" t="n">
        <f aca="false">Tree_Removal_Floor_Per_Foot * A48</f>
        <v>500</v>
      </c>
      <c r="D48" s="31" t="n">
        <f aca="false">MAX(B48, C48)</f>
        <v>500</v>
      </c>
      <c r="E48" s="7" t="str">
        <f aca="false">IF(B48&gt;=C48, "Hourly buildup", "FLOOR (review job — buildup may be too low)")</f>
        <v>FLOOR (review job — buildup may be too low)</v>
      </c>
      <c r="F48" s="7"/>
      <c r="G48" s="7"/>
    </row>
  </sheetData>
  <mergeCells count="41">
    <mergeCell ref="A2:G2"/>
    <mergeCell ref="A4:G4"/>
    <mergeCell ref="B5:G5"/>
    <mergeCell ref="B6:G6"/>
    <mergeCell ref="B7:G7"/>
    <mergeCell ref="B8:G8"/>
    <mergeCell ref="B9:G9"/>
    <mergeCell ref="A11:G11"/>
    <mergeCell ref="D12:G12"/>
    <mergeCell ref="D13:G13"/>
    <mergeCell ref="D14:G14"/>
    <mergeCell ref="D15:G15"/>
    <mergeCell ref="D16:G16"/>
    <mergeCell ref="D17:G17"/>
    <mergeCell ref="D18:G18"/>
    <mergeCell ref="D19:G19"/>
    <mergeCell ref="D20:G20"/>
    <mergeCell ref="D21:G21"/>
    <mergeCell ref="D22:G22"/>
    <mergeCell ref="A24:G24"/>
    <mergeCell ref="B25:G25"/>
    <mergeCell ref="B26:G26"/>
    <mergeCell ref="B27:G27"/>
    <mergeCell ref="B28:G28"/>
    <mergeCell ref="B29:G29"/>
    <mergeCell ref="B30:G30"/>
    <mergeCell ref="A32:G32"/>
    <mergeCell ref="E33:G33"/>
    <mergeCell ref="E34:G34"/>
    <mergeCell ref="E35:G35"/>
    <mergeCell ref="E36:G36"/>
    <mergeCell ref="E37:G37"/>
    <mergeCell ref="E38:G38"/>
    <mergeCell ref="E39:G39"/>
    <mergeCell ref="E40:G40"/>
    <mergeCell ref="A43:G43"/>
    <mergeCell ref="A44:G44"/>
    <mergeCell ref="E45:G45"/>
    <mergeCell ref="E46:G46"/>
    <mergeCell ref="E47:G47"/>
    <mergeCell ref="E48: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5" min="3" style="1" width="14"/>
    <col collapsed="false" customWidth="true" hidden="false" outlineLevel="0" max="6" min="6" style="1" width="16"/>
  </cols>
  <sheetData>
    <row r="1" customFormat="false" ht="17.25" hidden="false" customHeight="true" outlineLevel="0" collapsed="false">
      <c r="A1" s="2" t="s">
        <v>518</v>
      </c>
    </row>
    <row r="2" customFormat="false" ht="45" hidden="false" customHeight="true" outlineLevel="0" collapsed="false">
      <c r="A2" s="12" t="s">
        <v>519</v>
      </c>
      <c r="B2" s="12"/>
      <c r="C2" s="12"/>
      <c r="D2" s="12"/>
      <c r="E2" s="12"/>
      <c r="F2" s="12"/>
    </row>
    <row r="4" customFormat="false" ht="15" hidden="false" customHeight="true" outlineLevel="0" collapsed="false">
      <c r="A4" s="21" t="s">
        <v>520</v>
      </c>
      <c r="B4" s="21"/>
      <c r="C4" s="21"/>
      <c r="D4" s="21"/>
      <c r="E4" s="21"/>
      <c r="F4" s="21"/>
    </row>
    <row r="5" customFormat="false" ht="21.75" hidden="false" customHeight="true" outlineLevel="0" collapsed="false">
      <c r="A5" s="6" t="s">
        <v>521</v>
      </c>
      <c r="B5" s="6" t="s">
        <v>451</v>
      </c>
      <c r="C5" s="6" t="s">
        <v>522</v>
      </c>
      <c r="D5" s="6"/>
      <c r="E5" s="6"/>
      <c r="F5" s="6"/>
    </row>
    <row r="6" customFormat="false" ht="48" hidden="false" customHeight="true" outlineLevel="0" collapsed="false">
      <c r="A6" s="22" t="s">
        <v>523</v>
      </c>
      <c r="B6" s="32" t="n">
        <f aca="false">Takedown_Bottom_No_Rope</f>
        <v>100</v>
      </c>
      <c r="C6" s="20" t="s">
        <v>524</v>
      </c>
      <c r="D6" s="20"/>
      <c r="E6" s="20"/>
      <c r="F6" s="20"/>
    </row>
    <row r="7" customFormat="false" ht="48" hidden="false" customHeight="true" outlineLevel="0" collapsed="false">
      <c r="A7" s="22" t="s">
        <v>525</v>
      </c>
      <c r="B7" s="32" t="n">
        <f aca="false">Takedown_Bottom_With_Wedge</f>
        <v>150</v>
      </c>
      <c r="C7" s="20" t="s">
        <v>526</v>
      </c>
      <c r="D7" s="20"/>
      <c r="E7" s="20"/>
      <c r="F7" s="20"/>
    </row>
    <row r="8" customFormat="false" ht="48" hidden="false" customHeight="true" outlineLevel="0" collapsed="false">
      <c r="A8" s="22" t="s">
        <v>527</v>
      </c>
      <c r="B8" s="32" t="n">
        <f aca="false">Takedown_Bottom_With_Rope</f>
        <v>200</v>
      </c>
      <c r="C8" s="20" t="s">
        <v>528</v>
      </c>
      <c r="D8" s="20"/>
      <c r="E8" s="20"/>
      <c r="F8" s="20"/>
    </row>
    <row r="9" customFormat="false" ht="48" hidden="false" customHeight="true" outlineLevel="0" collapsed="false">
      <c r="A9" s="22" t="s">
        <v>529</v>
      </c>
      <c r="B9" s="32" t="n">
        <f aca="false">Takedown_Through_Pulley</f>
        <v>300</v>
      </c>
      <c r="C9" s="20" t="s">
        <v>530</v>
      </c>
      <c r="D9" s="20"/>
      <c r="E9" s="20"/>
      <c r="F9" s="20"/>
    </row>
    <row r="10" customFormat="false" ht="48" hidden="false" customHeight="true" outlineLevel="0" collapsed="false">
      <c r="A10" s="22" t="s">
        <v>531</v>
      </c>
      <c r="B10" s="32" t="n">
        <f aca="false">Takedown_Over_24_DBH</f>
        <v>400</v>
      </c>
      <c r="C10" s="20" t="s">
        <v>532</v>
      </c>
      <c r="D10" s="20"/>
      <c r="E10" s="20"/>
      <c r="F10" s="20"/>
    </row>
    <row r="12" customFormat="false" ht="15" hidden="false" customHeight="true" outlineLevel="0" collapsed="false">
      <c r="A12" s="21" t="s">
        <v>533</v>
      </c>
      <c r="B12" s="21"/>
      <c r="C12" s="21"/>
      <c r="D12" s="21"/>
      <c r="E12" s="21"/>
      <c r="F12" s="21"/>
    </row>
    <row r="13" customFormat="false" ht="37.5" hidden="false" customHeight="true" outlineLevel="0" collapsed="false">
      <c r="A13" s="5" t="s">
        <v>534</v>
      </c>
      <c r="B13" s="5"/>
      <c r="C13" s="5"/>
      <c r="D13" s="5"/>
      <c r="E13" s="5"/>
      <c r="F13" s="5"/>
    </row>
    <row r="14" customFormat="false" ht="37.5" hidden="false" customHeight="true" outlineLevel="0" collapsed="false">
      <c r="A14" s="5" t="s">
        <v>535</v>
      </c>
      <c r="B14" s="5"/>
      <c r="C14" s="5"/>
      <c r="D14" s="5"/>
      <c r="E14" s="5"/>
      <c r="F14" s="5"/>
    </row>
    <row r="15" customFormat="false" ht="37.5" hidden="false" customHeight="true" outlineLevel="0" collapsed="false">
      <c r="A15" s="5" t="s">
        <v>536</v>
      </c>
      <c r="B15" s="5"/>
      <c r="C15" s="5"/>
      <c r="D15" s="5"/>
      <c r="E15" s="5"/>
      <c r="F15" s="5"/>
    </row>
    <row r="16" customFormat="false" ht="37.5" hidden="false" customHeight="true" outlineLevel="0" collapsed="false">
      <c r="A16" s="5" t="s">
        <v>537</v>
      </c>
      <c r="B16" s="5"/>
      <c r="C16" s="5"/>
      <c r="D16" s="5"/>
      <c r="E16" s="5"/>
      <c r="F16" s="5"/>
    </row>
    <row r="17" customFormat="false" ht="37.5" hidden="false" customHeight="true" outlineLevel="0" collapsed="false">
      <c r="A17" s="5" t="s">
        <v>538</v>
      </c>
      <c r="B17" s="5"/>
      <c r="C17" s="5"/>
      <c r="D17" s="5"/>
      <c r="E17" s="5"/>
      <c r="F17" s="5"/>
    </row>
    <row r="18" customFormat="false" ht="37.5" hidden="false" customHeight="true" outlineLevel="0" collapsed="false">
      <c r="A18" s="5" t="s">
        <v>539</v>
      </c>
      <c r="B18" s="5"/>
      <c r="C18" s="5"/>
      <c r="D18" s="5"/>
      <c r="E18" s="5"/>
      <c r="F18" s="5"/>
    </row>
    <row r="20" customFormat="false" ht="15" hidden="false" customHeight="true" outlineLevel="0" collapsed="false">
      <c r="A20" s="21" t="s">
        <v>540</v>
      </c>
      <c r="B20" s="21"/>
      <c r="C20" s="21"/>
      <c r="D20" s="21"/>
      <c r="E20" s="21"/>
      <c r="F20" s="21"/>
    </row>
    <row r="21" customFormat="false" ht="27.75" hidden="false" customHeight="true" outlineLevel="0" collapsed="false">
      <c r="A21" s="7" t="s">
        <v>541</v>
      </c>
      <c r="B21" s="7"/>
      <c r="C21" s="7"/>
      <c r="D21" s="7"/>
      <c r="E21" s="7"/>
      <c r="F21" s="33" t="s">
        <v>542</v>
      </c>
    </row>
    <row r="22" customFormat="false" ht="27.75" hidden="false" customHeight="true" outlineLevel="0" collapsed="false">
      <c r="A22" s="7" t="s">
        <v>543</v>
      </c>
      <c r="B22" s="7"/>
      <c r="C22" s="7"/>
      <c r="D22" s="7"/>
      <c r="E22" s="7"/>
      <c r="F22" s="33" t="s">
        <v>544</v>
      </c>
    </row>
    <row r="23" customFormat="false" ht="27.75" hidden="false" customHeight="true" outlineLevel="0" collapsed="false">
      <c r="A23" s="7" t="s">
        <v>545</v>
      </c>
      <c r="B23" s="7"/>
      <c r="C23" s="7"/>
      <c r="D23" s="7"/>
      <c r="E23" s="7"/>
      <c r="F23" s="33" t="s">
        <v>546</v>
      </c>
    </row>
    <row r="24" customFormat="false" ht="27.75" hidden="false" customHeight="true" outlineLevel="0" collapsed="false">
      <c r="A24" s="7" t="s">
        <v>547</v>
      </c>
      <c r="B24" s="7"/>
      <c r="C24" s="7"/>
      <c r="D24" s="7"/>
      <c r="E24" s="7"/>
      <c r="F24" s="33" t="s">
        <v>548</v>
      </c>
    </row>
    <row r="25" customFormat="false" ht="27.75" hidden="false" customHeight="true" outlineLevel="0" collapsed="false">
      <c r="A25" s="7" t="s">
        <v>549</v>
      </c>
      <c r="B25" s="7"/>
      <c r="C25" s="7"/>
      <c r="D25" s="7"/>
      <c r="E25" s="7"/>
      <c r="F25" s="33" t="s">
        <v>550</v>
      </c>
    </row>
    <row r="26" customFormat="false" ht="27.75" hidden="false" customHeight="true" outlineLevel="0" collapsed="false">
      <c r="A26" s="7" t="s">
        <v>551</v>
      </c>
      <c r="B26" s="7"/>
      <c r="C26" s="7"/>
      <c r="D26" s="7"/>
      <c r="E26" s="7"/>
      <c r="F26" s="33" t="s">
        <v>552</v>
      </c>
    </row>
    <row r="27" customFormat="false" ht="27.75" hidden="false" customHeight="true" outlineLevel="0" collapsed="false">
      <c r="A27" s="7" t="s">
        <v>553</v>
      </c>
      <c r="B27" s="7"/>
      <c r="C27" s="7"/>
      <c r="D27" s="7"/>
      <c r="E27" s="7"/>
      <c r="F27" s="33" t="s">
        <v>554</v>
      </c>
    </row>
  </sheetData>
  <mergeCells count="23">
    <mergeCell ref="A2:F2"/>
    <mergeCell ref="A4:F4"/>
    <mergeCell ref="C5:F5"/>
    <mergeCell ref="C6:F6"/>
    <mergeCell ref="C7:F7"/>
    <mergeCell ref="C8:F8"/>
    <mergeCell ref="C9:F9"/>
    <mergeCell ref="C10:F10"/>
    <mergeCell ref="A12:F12"/>
    <mergeCell ref="A13:F13"/>
    <mergeCell ref="A14:F14"/>
    <mergeCell ref="A15:F15"/>
    <mergeCell ref="A16:F16"/>
    <mergeCell ref="A17:F17"/>
    <mergeCell ref="A18:F18"/>
    <mergeCell ref="A20:F20"/>
    <mergeCell ref="A21:E21"/>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22"/>
    <col collapsed="false" customWidth="true" hidden="false" outlineLevel="0" max="6" min="3" style="1" width="14"/>
    <col collapsed="false" customWidth="true" hidden="false" outlineLevel="0" max="7" min="7" style="1" width="18"/>
  </cols>
  <sheetData>
    <row r="1" customFormat="false" ht="17.25" hidden="false" customHeight="true" outlineLevel="0" collapsed="false">
      <c r="A1" s="2" t="s">
        <v>555</v>
      </c>
    </row>
    <row r="2" customFormat="false" ht="60" hidden="false" customHeight="true" outlineLevel="0" collapsed="false">
      <c r="A2" s="12" t="s">
        <v>556</v>
      </c>
      <c r="B2" s="12"/>
      <c r="C2" s="12"/>
      <c r="D2" s="12"/>
      <c r="E2" s="12"/>
      <c r="F2" s="12"/>
      <c r="G2" s="12"/>
    </row>
    <row r="4" customFormat="false" ht="15" hidden="false" customHeight="true" outlineLevel="0" collapsed="false">
      <c r="A4" s="21" t="s">
        <v>557</v>
      </c>
      <c r="B4" s="21"/>
      <c r="C4" s="21"/>
      <c r="D4" s="21"/>
      <c r="E4" s="21"/>
      <c r="F4" s="21"/>
      <c r="G4" s="21"/>
    </row>
    <row r="5" customFormat="false" ht="21.75" hidden="false" customHeight="true" outlineLevel="0" collapsed="false">
      <c r="A5" s="6" t="s">
        <v>456</v>
      </c>
      <c r="B5" s="6" t="s">
        <v>558</v>
      </c>
      <c r="C5" s="6" t="s">
        <v>559</v>
      </c>
      <c r="D5" s="6"/>
      <c r="E5" s="6"/>
      <c r="F5" s="6"/>
      <c r="G5" s="6"/>
    </row>
    <row r="6" customFormat="false" ht="43.5" hidden="false" customHeight="true" outlineLevel="0" collapsed="false">
      <c r="A6" s="22" t="s">
        <v>560</v>
      </c>
      <c r="B6" s="23" t="s">
        <v>561</v>
      </c>
      <c r="C6" s="20" t="s">
        <v>562</v>
      </c>
      <c r="D6" s="20"/>
      <c r="E6" s="20"/>
      <c r="F6" s="20"/>
      <c r="G6" s="20"/>
    </row>
    <row r="7" customFormat="false" ht="43.5" hidden="false" customHeight="true" outlineLevel="0" collapsed="false">
      <c r="A7" s="22" t="s">
        <v>563</v>
      </c>
      <c r="B7" s="23" t="s">
        <v>564</v>
      </c>
      <c r="C7" s="20" t="s">
        <v>565</v>
      </c>
      <c r="D7" s="20"/>
      <c r="E7" s="20"/>
      <c r="F7" s="20"/>
      <c r="G7" s="20"/>
    </row>
    <row r="8" customFormat="false" ht="43.5" hidden="false" customHeight="true" outlineLevel="0" collapsed="false">
      <c r="A8" s="22" t="s">
        <v>566</v>
      </c>
      <c r="B8" s="23" t="s">
        <v>567</v>
      </c>
      <c r="C8" s="20" t="s">
        <v>568</v>
      </c>
      <c r="D8" s="20"/>
      <c r="E8" s="20"/>
      <c r="F8" s="20"/>
      <c r="G8" s="20"/>
    </row>
    <row r="9" customFormat="false" ht="43.5" hidden="false" customHeight="true" outlineLevel="0" collapsed="false">
      <c r="A9" s="22" t="s">
        <v>569</v>
      </c>
      <c r="B9" s="23" t="s">
        <v>570</v>
      </c>
      <c r="C9" s="20" t="s">
        <v>571</v>
      </c>
      <c r="D9" s="20"/>
      <c r="E9" s="20"/>
      <c r="F9" s="20"/>
      <c r="G9" s="20"/>
    </row>
    <row r="10" customFormat="false" ht="43.5" hidden="false" customHeight="true" outlineLevel="0" collapsed="false">
      <c r="A10" s="22" t="s">
        <v>572</v>
      </c>
      <c r="B10" s="23" t="s">
        <v>573</v>
      </c>
      <c r="C10" s="20" t="s">
        <v>574</v>
      </c>
      <c r="D10" s="20"/>
      <c r="E10" s="20"/>
      <c r="F10" s="20"/>
      <c r="G10" s="20"/>
    </row>
    <row r="11" customFormat="false" ht="43.5" hidden="false" customHeight="true" outlineLevel="0" collapsed="false">
      <c r="A11" s="22" t="s">
        <v>575</v>
      </c>
      <c r="B11" s="23" t="s">
        <v>576</v>
      </c>
      <c r="C11" s="20" t="s">
        <v>577</v>
      </c>
      <c r="D11" s="20"/>
      <c r="E11" s="20"/>
      <c r="F11" s="20"/>
      <c r="G11" s="20"/>
    </row>
    <row r="12" customFormat="false" ht="43.5" hidden="false" customHeight="true" outlineLevel="0" collapsed="false">
      <c r="A12" s="22" t="s">
        <v>578</v>
      </c>
      <c r="B12" s="23" t="s">
        <v>579</v>
      </c>
      <c r="C12" s="20" t="s">
        <v>580</v>
      </c>
      <c r="D12" s="20"/>
      <c r="E12" s="20"/>
      <c r="F12" s="20"/>
      <c r="G12" s="20"/>
    </row>
    <row r="13" customFormat="false" ht="43.5" hidden="false" customHeight="true" outlineLevel="0" collapsed="false">
      <c r="A13" s="22" t="s">
        <v>581</v>
      </c>
      <c r="B13" s="23" t="s">
        <v>390</v>
      </c>
      <c r="C13" s="20" t="s">
        <v>582</v>
      </c>
      <c r="D13" s="20"/>
      <c r="E13" s="20"/>
      <c r="F13" s="20"/>
      <c r="G13" s="20"/>
    </row>
    <row r="14" customFormat="false" ht="43.5" hidden="false" customHeight="true" outlineLevel="0" collapsed="false">
      <c r="A14" s="22" t="s">
        <v>583</v>
      </c>
      <c r="B14" s="23" t="s">
        <v>392</v>
      </c>
      <c r="C14" s="20" t="s">
        <v>584</v>
      </c>
      <c r="D14" s="20"/>
      <c r="E14" s="20"/>
      <c r="F14" s="20"/>
      <c r="G14" s="20"/>
    </row>
    <row r="15" customFormat="false" ht="43.5" hidden="false" customHeight="true" outlineLevel="0" collapsed="false">
      <c r="A15" s="22" t="s">
        <v>585</v>
      </c>
      <c r="B15" s="23" t="s">
        <v>586</v>
      </c>
      <c r="C15" s="20" t="s">
        <v>587</v>
      </c>
      <c r="D15" s="20"/>
      <c r="E15" s="20"/>
      <c r="F15" s="20"/>
      <c r="G15" s="20"/>
    </row>
    <row r="17" customFormat="false" ht="15" hidden="false" customHeight="true" outlineLevel="0" collapsed="false">
      <c r="A17" s="21" t="s">
        <v>588</v>
      </c>
      <c r="B17" s="21"/>
      <c r="C17" s="21"/>
      <c r="D17" s="21"/>
      <c r="E17" s="21"/>
      <c r="F17" s="21"/>
      <c r="G17" s="21"/>
    </row>
    <row r="18" customFormat="false" ht="21.75" hidden="false" customHeight="true" outlineLevel="0" collapsed="false">
      <c r="A18" s="6" t="s">
        <v>589</v>
      </c>
      <c r="B18" s="6" t="s">
        <v>590</v>
      </c>
      <c r="C18" s="6" t="s">
        <v>591</v>
      </c>
      <c r="D18" s="6"/>
      <c r="E18" s="6"/>
      <c r="F18" s="6"/>
      <c r="G18" s="6"/>
    </row>
    <row r="19" customFormat="false" ht="49.5" hidden="false" customHeight="true" outlineLevel="0" collapsed="false">
      <c r="A19" s="22" t="s">
        <v>592</v>
      </c>
      <c r="B19" s="20" t="s">
        <v>593</v>
      </c>
      <c r="C19" s="20" t="s">
        <v>594</v>
      </c>
      <c r="D19" s="20"/>
      <c r="E19" s="20"/>
      <c r="F19" s="20"/>
      <c r="G19" s="20"/>
    </row>
    <row r="20" customFormat="false" ht="49.5" hidden="false" customHeight="true" outlineLevel="0" collapsed="false">
      <c r="A20" s="22" t="s">
        <v>595</v>
      </c>
      <c r="B20" s="20" t="s">
        <v>596</v>
      </c>
      <c r="C20" s="20" t="s">
        <v>597</v>
      </c>
      <c r="D20" s="20"/>
      <c r="E20" s="20"/>
      <c r="F20" s="20"/>
      <c r="G20" s="20"/>
    </row>
    <row r="21" customFormat="false" ht="49.5" hidden="false" customHeight="true" outlineLevel="0" collapsed="false">
      <c r="A21" s="22" t="s">
        <v>598</v>
      </c>
      <c r="B21" s="20" t="s">
        <v>599</v>
      </c>
      <c r="C21" s="20" t="s">
        <v>600</v>
      </c>
      <c r="D21" s="20"/>
      <c r="E21" s="20"/>
      <c r="F21" s="20"/>
      <c r="G21" s="20"/>
    </row>
    <row r="23" customFormat="false" ht="15" hidden="false" customHeight="true" outlineLevel="0" collapsed="false">
      <c r="A23" s="21" t="s">
        <v>601</v>
      </c>
      <c r="B23" s="21"/>
      <c r="C23" s="21"/>
      <c r="D23" s="21"/>
      <c r="E23" s="21"/>
      <c r="F23" s="21"/>
      <c r="G23" s="21"/>
    </row>
    <row r="24" customFormat="false" ht="49.5" hidden="false" customHeight="true" outlineLevel="0" collapsed="false">
      <c r="A24" s="12" t="s">
        <v>602</v>
      </c>
      <c r="B24" s="12"/>
      <c r="C24" s="12"/>
      <c r="D24" s="12"/>
      <c r="E24" s="12"/>
      <c r="F24" s="12"/>
      <c r="G24" s="12"/>
    </row>
    <row r="25" customFormat="false" ht="27.75" hidden="false" customHeight="true" outlineLevel="0" collapsed="false">
      <c r="A25" s="34" t="s">
        <v>603</v>
      </c>
      <c r="B25" s="23" t="s">
        <v>604</v>
      </c>
      <c r="C25" s="23"/>
      <c r="D25" s="23"/>
      <c r="E25" s="23"/>
      <c r="F25" s="23"/>
      <c r="G25" s="23"/>
    </row>
    <row r="26" customFormat="false" ht="27.75" hidden="false" customHeight="true" outlineLevel="0" collapsed="false">
      <c r="A26" s="34" t="s">
        <v>605</v>
      </c>
      <c r="B26" s="23" t="s">
        <v>606</v>
      </c>
      <c r="C26" s="23"/>
      <c r="D26" s="23"/>
      <c r="E26" s="23"/>
      <c r="F26" s="23"/>
      <c r="G26" s="23"/>
    </row>
    <row r="27" customFormat="false" ht="27.75" hidden="false" customHeight="true" outlineLevel="0" collapsed="false">
      <c r="A27" s="34" t="s">
        <v>607</v>
      </c>
      <c r="B27" s="23" t="s">
        <v>608</v>
      </c>
      <c r="C27" s="23"/>
      <c r="D27" s="23"/>
      <c r="E27" s="23"/>
      <c r="F27" s="23"/>
      <c r="G27" s="23"/>
    </row>
    <row r="28" customFormat="false" ht="27.75" hidden="false" customHeight="true" outlineLevel="0" collapsed="false">
      <c r="A28" s="34" t="s">
        <v>609</v>
      </c>
      <c r="B28" s="23" t="s">
        <v>610</v>
      </c>
      <c r="C28" s="23"/>
      <c r="D28" s="23"/>
      <c r="E28" s="23"/>
      <c r="F28" s="23"/>
      <c r="G28" s="23"/>
    </row>
    <row r="30" customFormat="false" ht="15" hidden="false" customHeight="true" outlineLevel="0" collapsed="false">
      <c r="A30" s="35" t="s">
        <v>611</v>
      </c>
      <c r="B30" s="35"/>
      <c r="C30" s="35"/>
      <c r="D30" s="35"/>
      <c r="E30" s="35"/>
      <c r="F30" s="35"/>
      <c r="G30" s="35"/>
    </row>
    <row r="31" customFormat="false" ht="30" hidden="false" customHeight="true" outlineLevel="0" collapsed="false">
      <c r="A31" s="6" t="s">
        <v>612</v>
      </c>
      <c r="B31" s="6" t="s">
        <v>613</v>
      </c>
      <c r="C31" s="6" t="s">
        <v>614</v>
      </c>
      <c r="D31" s="6" t="s">
        <v>605</v>
      </c>
      <c r="E31" s="6" t="s">
        <v>615</v>
      </c>
      <c r="F31" s="6" t="s">
        <v>609</v>
      </c>
      <c r="G31" s="6" t="s">
        <v>62</v>
      </c>
    </row>
    <row r="32" customFormat="false" ht="15" hidden="false" customHeight="true" outlineLevel="0" collapsed="false">
      <c r="A32" s="24" t="n">
        <v>12</v>
      </c>
      <c r="B32" s="24" t="n">
        <v>30</v>
      </c>
      <c r="C32" s="36" t="n">
        <f aca="false">PI() * (A32/24)^2 * B32 / 27</f>
        <v>0.872664625997165</v>
      </c>
      <c r="D32" s="36" t="n">
        <f aca="false">C32 * Log_Stack_Packing_Factor</f>
        <v>1.13446401379631</v>
      </c>
      <c r="E32" s="36" t="n">
        <f aca="false">D32 / Dump_Trailer_CuYd</f>
        <v>0.0810331438425939</v>
      </c>
      <c r="F32" s="36" t="n">
        <f aca="false">D32 / Log_Truck_CuYd</f>
        <v>0.0189077335632719</v>
      </c>
      <c r="G32" s="7" t="s">
        <v>616</v>
      </c>
    </row>
    <row r="33" customFormat="false" ht="15" hidden="false" customHeight="true" outlineLevel="0" collapsed="false">
      <c r="A33" s="24" t="n">
        <v>18</v>
      </c>
      <c r="B33" s="24" t="n">
        <v>40</v>
      </c>
      <c r="C33" s="36" t="n">
        <f aca="false">PI() * (A33/24)^2 * B33 / 27</f>
        <v>2.61799387799149</v>
      </c>
      <c r="D33" s="36" t="n">
        <f aca="false">C33 * Log_Stack_Packing_Factor</f>
        <v>3.40339204138894</v>
      </c>
      <c r="E33" s="36" t="n">
        <f aca="false">D33 / Dump_Trailer_CuYd</f>
        <v>0.243099431527782</v>
      </c>
      <c r="F33" s="36" t="n">
        <f aca="false">D33 / Log_Truck_CuYd</f>
        <v>0.0567232006898157</v>
      </c>
      <c r="G33" s="7" t="s">
        <v>617</v>
      </c>
    </row>
    <row r="34" customFormat="false" ht="15" hidden="false" customHeight="true" outlineLevel="0" collapsed="false">
      <c r="A34" s="24" t="n">
        <v>24</v>
      </c>
      <c r="B34" s="24" t="n">
        <v>50</v>
      </c>
      <c r="C34" s="36" t="n">
        <f aca="false">PI() * (A34/24)^2 * B34 / 27</f>
        <v>5.81776417331443</v>
      </c>
      <c r="D34" s="36" t="n">
        <f aca="false">C34 * Log_Stack_Packing_Factor</f>
        <v>7.56309342530876</v>
      </c>
      <c r="E34" s="36" t="n">
        <f aca="false">D34 / Dump_Trailer_CuYd</f>
        <v>0.540220958950626</v>
      </c>
      <c r="F34" s="36" t="n">
        <f aca="false">D34 / Log_Truck_CuYd</f>
        <v>0.126051557088479</v>
      </c>
      <c r="G34" s="7" t="s">
        <v>618</v>
      </c>
    </row>
    <row r="35" customFormat="false" ht="15" hidden="false" customHeight="true" outlineLevel="0" collapsed="false">
      <c r="A35" s="24" t="n">
        <v>30</v>
      </c>
      <c r="B35" s="24" t="n">
        <v>50</v>
      </c>
      <c r="C35" s="36" t="n">
        <f aca="false">PI() * (A35/24)^2 * B35 / 27</f>
        <v>9.0902565208038</v>
      </c>
      <c r="D35" s="36" t="n">
        <f aca="false">C35 * Log_Stack_Packing_Factor</f>
        <v>11.8173334770449</v>
      </c>
      <c r="E35" s="36" t="n">
        <f aca="false">D35 / Dump_Trailer_CuYd</f>
        <v>0.844095248360353</v>
      </c>
      <c r="F35" s="36" t="n">
        <f aca="false">D35 / Log_Truck_CuYd</f>
        <v>0.196955557950749</v>
      </c>
      <c r="G35" s="7" t="s">
        <v>619</v>
      </c>
    </row>
    <row r="36" customFormat="false" ht="23.25" hidden="false" customHeight="true" outlineLevel="0" collapsed="false">
      <c r="A36" s="24" t="n">
        <v>36</v>
      </c>
      <c r="B36" s="24" t="n">
        <v>40</v>
      </c>
      <c r="C36" s="36" t="n">
        <f aca="false">PI() * (A36/24)^2 * B36 / 27</f>
        <v>10.471975511966</v>
      </c>
      <c r="D36" s="36" t="n">
        <f aca="false">C36 * Log_Stack_Packing_Factor</f>
        <v>13.6135681655558</v>
      </c>
      <c r="E36" s="36" t="n">
        <f aca="false">D36 / Dump_Trailer_CuYd</f>
        <v>0.972397726111127</v>
      </c>
      <c r="F36" s="36" t="n">
        <f aca="false">D36 / Log_Truck_CuYd</f>
        <v>0.226892802759263</v>
      </c>
      <c r="G36" s="7" t="s">
        <v>620</v>
      </c>
    </row>
    <row r="37" customFormat="false" ht="15" hidden="false" customHeight="true" outlineLevel="0" collapsed="false">
      <c r="A37" s="24" t="n">
        <v>42</v>
      </c>
      <c r="B37" s="24" t="n">
        <v>60</v>
      </c>
      <c r="C37" s="36" t="n">
        <f aca="false">PI() * (A37/24)^2 * B37 / 27</f>
        <v>21.3802833369305</v>
      </c>
      <c r="D37" s="36" t="n">
        <f aca="false">C37 * Log_Stack_Packing_Factor</f>
        <v>27.7943683380097</v>
      </c>
      <c r="E37" s="36" t="n">
        <f aca="false">D37 / Dump_Trailer_CuYd</f>
        <v>1.98531202414355</v>
      </c>
      <c r="F37" s="36" t="n">
        <f aca="false">D37 / Log_Truck_CuYd</f>
        <v>0.463239472300162</v>
      </c>
      <c r="G37" s="7" t="s">
        <v>621</v>
      </c>
    </row>
    <row r="38" customFormat="false" ht="15" hidden="false" customHeight="true" outlineLevel="0" collapsed="false">
      <c r="A38" s="24" t="n">
        <v>48</v>
      </c>
      <c r="B38" s="24" t="n">
        <v>70</v>
      </c>
      <c r="C38" s="36" t="n">
        <f aca="false">PI() * (A38/24)^2 * B38 / 27</f>
        <v>32.5794793705608</v>
      </c>
      <c r="D38" s="36" t="n">
        <f aca="false">C38 * Log_Stack_Packing_Factor</f>
        <v>42.3533231817291</v>
      </c>
      <c r="E38" s="36" t="n">
        <f aca="false">D38 / Dump_Trailer_CuYd</f>
        <v>3.02523737012351</v>
      </c>
      <c r="F38" s="36" t="n">
        <f aca="false">D38 / Log_Truck_CuYd</f>
        <v>0.705888719695485</v>
      </c>
      <c r="G38" s="7" t="s">
        <v>622</v>
      </c>
    </row>
    <row r="41" customFormat="false" ht="15" hidden="false" customHeight="true" outlineLevel="0" collapsed="false">
      <c r="A41" s="21" t="s">
        <v>623</v>
      </c>
      <c r="B41" s="21"/>
      <c r="C41" s="21"/>
      <c r="D41" s="21"/>
      <c r="E41" s="21"/>
      <c r="F41" s="21"/>
      <c r="G41" s="21"/>
    </row>
    <row r="42" customFormat="false" ht="30" hidden="false" customHeight="true" outlineLevel="0" collapsed="false">
      <c r="A42" s="12" t="s">
        <v>624</v>
      </c>
      <c r="B42" s="12"/>
      <c r="C42" s="12"/>
      <c r="D42" s="12"/>
      <c r="E42" s="12"/>
      <c r="F42" s="12"/>
      <c r="G42" s="12"/>
    </row>
    <row r="43" customFormat="false" ht="15" hidden="false" customHeight="true" outlineLevel="0" collapsed="false">
      <c r="A43" s="37" t="s">
        <v>625</v>
      </c>
      <c r="B43" s="38" t="n">
        <v>50</v>
      </c>
    </row>
    <row r="44" customFormat="false" ht="15" hidden="false" customHeight="true" outlineLevel="0" collapsed="false">
      <c r="A44" s="37" t="s">
        <v>626</v>
      </c>
      <c r="B44" s="38" t="n">
        <v>18</v>
      </c>
    </row>
    <row r="45" customFormat="false" ht="15" hidden="false" customHeight="true" outlineLevel="0" collapsed="false">
      <c r="A45" s="37" t="s">
        <v>627</v>
      </c>
      <c r="B45" s="38" t="s">
        <v>628</v>
      </c>
    </row>
    <row r="46" customFormat="false" ht="15" hidden="false" customHeight="true" outlineLevel="0" collapsed="false">
      <c r="A46" s="37" t="s">
        <v>629</v>
      </c>
      <c r="B46" s="38" t="n">
        <v>1</v>
      </c>
    </row>
    <row r="47" customFormat="false" ht="15" hidden="false" customHeight="true" outlineLevel="0" collapsed="false">
      <c r="A47" s="37" t="s">
        <v>630</v>
      </c>
      <c r="B47" s="38" t="s">
        <v>631</v>
      </c>
    </row>
    <row r="48" customFormat="false" ht="15" hidden="false" customHeight="true" outlineLevel="0" collapsed="false">
      <c r="A48" s="37" t="s">
        <v>632</v>
      </c>
      <c r="B48" s="38" t="n">
        <v>0</v>
      </c>
    </row>
    <row r="49" customFormat="false" ht="15" hidden="false" customHeight="true" outlineLevel="0" collapsed="false">
      <c r="A49" s="37" t="s">
        <v>633</v>
      </c>
      <c r="B49" s="38" t="s">
        <v>634</v>
      </c>
      <c r="C49" s="39" t="s">
        <v>635</v>
      </c>
      <c r="D49" s="39"/>
      <c r="E49" s="39"/>
      <c r="F49" s="39"/>
      <c r="G49" s="39"/>
    </row>
    <row r="50" customFormat="false" ht="15" hidden="false" customHeight="true" outlineLevel="0" collapsed="false">
      <c r="A50" s="37" t="s">
        <v>636</v>
      </c>
      <c r="B50" s="38" t="n">
        <v>0</v>
      </c>
      <c r="C50" s="39" t="s">
        <v>637</v>
      </c>
      <c r="D50" s="39"/>
      <c r="E50" s="39"/>
      <c r="F50" s="39"/>
      <c r="G50" s="39"/>
    </row>
    <row r="51" customFormat="false" ht="23.25" hidden="false" customHeight="true" outlineLevel="0" collapsed="false">
      <c r="C51" s="9"/>
      <c r="D51" s="9"/>
      <c r="E51" s="9"/>
      <c r="F51" s="9"/>
      <c r="G51" s="9"/>
    </row>
    <row r="52" customFormat="false" ht="23.25" hidden="false" customHeight="true" outlineLevel="0" collapsed="false">
      <c r="A52" s="6" t="s">
        <v>638</v>
      </c>
      <c r="B52" s="6" t="s">
        <v>61</v>
      </c>
      <c r="C52" s="6" t="s">
        <v>639</v>
      </c>
      <c r="D52" s="6"/>
      <c r="E52" s="6"/>
      <c r="F52" s="6"/>
      <c r="G52" s="6"/>
    </row>
    <row r="53" customFormat="false" ht="15" hidden="false" customHeight="true" outlineLevel="0" collapsed="false">
      <c r="A53" s="7" t="s">
        <v>640</v>
      </c>
      <c r="B53" s="7" t="str">
        <f aca="false">IF(B45="complex", "Rigging_Floor_Complex × Height", IF(B45="moderate", "Rigging_Floor_Moderate × Height", "Tree_Removal_Floor × Height"))</f>
        <v>Tree_Removal_Floor × Height</v>
      </c>
      <c r="C53" s="26" t="n">
        <f aca="false">IF(B45="complex", Rigging_Floor_Complex, IF(B45="moderate", Rigging_Floor_Moderate, Tree_Removal_Floor_Per_Foot)) * B43</f>
        <v>500</v>
      </c>
      <c r="D53" s="26"/>
      <c r="E53" s="26"/>
      <c r="F53" s="26"/>
      <c r="G53" s="26"/>
    </row>
    <row r="54" customFormat="false" ht="15" hidden="false" customHeight="true" outlineLevel="0" collapsed="false">
      <c r="A54" s="7" t="s">
        <v>641</v>
      </c>
      <c r="B54" s="7" t="str">
        <f aca="false">IF(B45="complex", "DBH_Floor_Complex × DBH", IF(B45="moderate", "DBH_Floor_Moderate × DBH", "DBH_Floor_No_Rigging × DBH"))</f>
        <v>DBH_Floor_No_Rigging × DBH</v>
      </c>
      <c r="C54" s="26" t="n">
        <f aca="false">IF(B45="complex", DBH_Floor_Complex_Rigging, IF(B45="moderate", DBH_Floor_Moderate_Rigging, DBH_Floor_No_Rigging)) * B44</f>
        <v>900</v>
      </c>
      <c r="D54" s="26"/>
      <c r="E54" s="26"/>
      <c r="F54" s="26"/>
      <c r="G54" s="26"/>
    </row>
    <row r="55" customFormat="false" ht="15" hidden="false" customHeight="true" outlineLevel="0" collapsed="false">
      <c r="A55" s="7" t="s">
        <v>642</v>
      </c>
      <c r="B55" s="7" t="str">
        <f aca="false">IF(B46&gt;=3, "Height × 3.0", IF(B46=2, "Height × 2.0", "n/a"))</f>
        <v>n/a</v>
      </c>
      <c r="C55" s="26" t="n">
        <f aca="false">IF(B46&gt;=3, C53 * Codominant_Lead_Multiplier_Max, IF(B46=2, C53 * Codominant_Lead_Multiplier_Min, 0))</f>
        <v>0</v>
      </c>
      <c r="D55" s="26"/>
      <c r="E55" s="26"/>
      <c r="F55" s="26"/>
      <c r="G55" s="26"/>
    </row>
    <row r="56" customFormat="false" ht="15" hidden="false" customHeight="true" outlineLevel="0" collapsed="false">
      <c r="A56" s="7" t="s">
        <v>643</v>
      </c>
      <c r="B56" s="7" t="str">
        <f aca="false">IF(B47="yes", "Loader_Required_Minimum", "n/a")</f>
        <v>n/a</v>
      </c>
      <c r="C56" s="26" t="n">
        <f aca="false">IF(B47="yes", Loader_Required_Minimum, 0)</f>
        <v>0</v>
      </c>
      <c r="D56" s="26"/>
      <c r="E56" s="26"/>
      <c r="F56" s="26"/>
      <c r="G56" s="26"/>
    </row>
    <row r="57" customFormat="false" ht="25.5" hidden="false" customHeight="true" outlineLevel="0" collapsed="false">
      <c r="A57" s="7" t="s">
        <v>644</v>
      </c>
      <c r="B57" s="7"/>
      <c r="C57" s="26" t="n">
        <f aca="false">IF(B48&gt;=2, Per_Log_Load_Minimum * B48, IF(B48=1, Single_Log_Load_Minimum, 0))</f>
        <v>0</v>
      </c>
      <c r="D57" s="26"/>
      <c r="E57" s="26"/>
      <c r="F57" s="26"/>
      <c r="G57" s="26"/>
    </row>
    <row r="58" customFormat="false" ht="30" hidden="false" customHeight="true" outlineLevel="0" collapsed="false">
      <c r="A58" s="9"/>
      <c r="B58" s="9"/>
      <c r="C58" s="9"/>
      <c r="D58" s="9"/>
      <c r="E58" s="9"/>
      <c r="F58" s="9"/>
      <c r="G58" s="9"/>
    </row>
    <row r="59" customFormat="false" ht="45" hidden="false" customHeight="true" outlineLevel="0" collapsed="false">
      <c r="A59" s="40" t="s">
        <v>645</v>
      </c>
      <c r="B59" s="41"/>
      <c r="C59" s="42" t="n">
        <f aca="false">MAX(C53, C54, C55, C56, C57)</f>
        <v>900</v>
      </c>
      <c r="D59" s="42"/>
      <c r="E59" s="42"/>
      <c r="F59" s="42"/>
      <c r="G59" s="42"/>
    </row>
    <row r="60" customFormat="false" ht="15" hidden="false" customHeight="true" outlineLevel="0" collapsed="false">
      <c r="A60" s="7" t="s">
        <v>646</v>
      </c>
      <c r="B60" s="7" t="str">
        <f aca="false">IF(OR(B49="yes", AND(B49="auto", B48&gt;2)), "$500 × log_truck_loads", "n/a")</f>
        <v>n/a</v>
      </c>
      <c r="C60" s="43" t="n">
        <f aca="false">IF(OR(B49="yes", AND(B49="auto", B48&gt;2)), Log_Truck_Disposal_Cost * IF(B50&gt;0, B50, CEILING(B48*Dump_Trailer_CuYd/Log_Truck_CuYd, 1)), 0)</f>
        <v>0</v>
      </c>
      <c r="D60" s="43"/>
      <c r="E60" s="43"/>
      <c r="F60" s="43"/>
      <c r="G60" s="43"/>
    </row>
    <row r="61" customFormat="false" ht="15" hidden="false" customHeight="true" outlineLevel="0" collapsed="false">
      <c r="C61" s="9"/>
      <c r="D61" s="9"/>
      <c r="E61" s="9"/>
      <c r="F61" s="9"/>
      <c r="G61" s="9"/>
    </row>
    <row r="62" customFormat="false" ht="27.75" hidden="false" customHeight="true" outlineLevel="0" collapsed="false">
      <c r="A62" s="40" t="s">
        <v>647</v>
      </c>
      <c r="B62" s="41"/>
      <c r="C62" s="44" t="n">
        <f aca="false">C59 + C60</f>
        <v>900</v>
      </c>
      <c r="D62" s="44"/>
      <c r="E62" s="44"/>
      <c r="F62" s="44"/>
      <c r="G62" s="44"/>
    </row>
    <row r="63" customFormat="false" ht="49.5" hidden="false" customHeight="true" outlineLevel="0" collapsed="false">
      <c r="A63" s="12" t="s">
        <v>648</v>
      </c>
      <c r="B63" s="12"/>
      <c r="C63" s="12"/>
      <c r="D63" s="12"/>
      <c r="E63" s="12"/>
      <c r="F63" s="12"/>
      <c r="G63" s="12"/>
    </row>
  </sheetData>
  <mergeCells count="43">
    <mergeCell ref="A2:G2"/>
    <mergeCell ref="A4:G4"/>
    <mergeCell ref="C5:G5"/>
    <mergeCell ref="C6:G6"/>
    <mergeCell ref="C7:G7"/>
    <mergeCell ref="C8:G8"/>
    <mergeCell ref="C9:G9"/>
    <mergeCell ref="C10:G10"/>
    <mergeCell ref="C11:G11"/>
    <mergeCell ref="C12:G12"/>
    <mergeCell ref="C13:G13"/>
    <mergeCell ref="C14:G14"/>
    <mergeCell ref="C15:G15"/>
    <mergeCell ref="A17:G17"/>
    <mergeCell ref="C18:G18"/>
    <mergeCell ref="C19:G19"/>
    <mergeCell ref="C20:G20"/>
    <mergeCell ref="C21:G21"/>
    <mergeCell ref="A23:G23"/>
    <mergeCell ref="A24:G24"/>
    <mergeCell ref="B25:G25"/>
    <mergeCell ref="B26:G26"/>
    <mergeCell ref="B27:G27"/>
    <mergeCell ref="B28:G28"/>
    <mergeCell ref="A30:G30"/>
    <mergeCell ref="A41:G41"/>
    <mergeCell ref="A42:G42"/>
    <mergeCell ref="C49:G49"/>
    <mergeCell ref="C50:G50"/>
    <mergeCell ref="C51:G51"/>
    <mergeCell ref="C52:G52"/>
    <mergeCell ref="C53:G53"/>
    <mergeCell ref="C54:G54"/>
    <mergeCell ref="C55:G55"/>
    <mergeCell ref="C56:G56"/>
    <mergeCell ref="A57:B57"/>
    <mergeCell ref="C57:G57"/>
    <mergeCell ref="A58:G58"/>
    <mergeCell ref="C59:G59"/>
    <mergeCell ref="C60:G60"/>
    <mergeCell ref="C61:G61"/>
    <mergeCell ref="C62:G62"/>
    <mergeCell ref="A63:G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6" min="2" style="1" width="14"/>
  </cols>
  <sheetData>
    <row r="1" customFormat="false" ht="17.25" hidden="false" customHeight="true" outlineLevel="0" collapsed="false">
      <c r="A1" s="2" t="s">
        <v>649</v>
      </c>
    </row>
    <row r="2" customFormat="false" ht="60" hidden="false" customHeight="true" outlineLevel="0" collapsed="false">
      <c r="A2" s="12" t="s">
        <v>650</v>
      </c>
      <c r="B2" s="12"/>
      <c r="C2" s="12"/>
      <c r="D2" s="12"/>
      <c r="E2" s="12"/>
      <c r="F2" s="12"/>
    </row>
    <row r="4" customFormat="false" ht="15" hidden="false" customHeight="true" outlineLevel="0" collapsed="false">
      <c r="A4" s="21" t="s">
        <v>651</v>
      </c>
      <c r="B4" s="21"/>
      <c r="C4" s="21"/>
      <c r="D4" s="21"/>
      <c r="E4" s="21"/>
      <c r="F4" s="21"/>
    </row>
    <row r="5" customFormat="false" ht="21.75" hidden="false" customHeight="true" outlineLevel="0" collapsed="false">
      <c r="A5" s="6" t="s">
        <v>652</v>
      </c>
      <c r="B5" s="6" t="s">
        <v>653</v>
      </c>
      <c r="C5" s="6" t="s">
        <v>654</v>
      </c>
      <c r="D5" s="6"/>
      <c r="E5" s="6"/>
      <c r="F5" s="6"/>
    </row>
    <row r="6" customFormat="false" ht="42" hidden="false" customHeight="true" outlineLevel="0" collapsed="false">
      <c r="A6" s="22" t="s">
        <v>655</v>
      </c>
      <c r="B6" s="32" t="n">
        <f aca="false">Trim_1_Cut</f>
        <v>100</v>
      </c>
      <c r="C6" s="20" t="s">
        <v>656</v>
      </c>
      <c r="D6" s="20"/>
      <c r="E6" s="20"/>
      <c r="F6" s="20"/>
    </row>
    <row r="7" customFormat="false" ht="42" hidden="false" customHeight="true" outlineLevel="0" collapsed="false">
      <c r="A7" s="22" t="s">
        <v>657</v>
      </c>
      <c r="B7" s="32" t="n">
        <f aca="false">Trim_2_Cuts_Close</f>
        <v>150</v>
      </c>
      <c r="C7" s="20" t="s">
        <v>658</v>
      </c>
      <c r="D7" s="20"/>
      <c r="E7" s="20"/>
      <c r="F7" s="20"/>
    </row>
    <row r="8" customFormat="false" ht="42" hidden="false" customHeight="true" outlineLevel="0" collapsed="false">
      <c r="A8" s="22" t="s">
        <v>659</v>
      </c>
      <c r="B8" s="32" t="n">
        <f aca="false">Trim_Cut_Requiring_Rigging</f>
        <v>200</v>
      </c>
      <c r="C8" s="20" t="s">
        <v>660</v>
      </c>
      <c r="D8" s="20"/>
      <c r="E8" s="20"/>
      <c r="F8" s="20"/>
    </row>
    <row r="9" customFormat="false" ht="42" hidden="false" customHeight="true" outlineLevel="0" collapsed="false">
      <c r="A9" s="22" t="s">
        <v>661</v>
      </c>
      <c r="B9" s="32" t="n">
        <f aca="false">Trim_Single_Cut_High_Lifeline</f>
        <v>200</v>
      </c>
      <c r="C9" s="20" t="s">
        <v>662</v>
      </c>
      <c r="D9" s="20"/>
      <c r="E9" s="20"/>
      <c r="F9" s="20"/>
    </row>
    <row r="10" customFormat="false" ht="42" hidden="false" customHeight="true" outlineLevel="0" collapsed="false">
      <c r="A10" s="22" t="s">
        <v>663</v>
      </c>
      <c r="B10" s="32" t="n">
        <f aca="false">Trim_Multi_Cut_High_Lifeline</f>
        <v>300</v>
      </c>
      <c r="C10" s="20" t="s">
        <v>664</v>
      </c>
      <c r="D10" s="20"/>
      <c r="E10" s="20"/>
      <c r="F10" s="20"/>
    </row>
    <row r="12" customFormat="false" ht="15" hidden="false" customHeight="true" outlineLevel="0" collapsed="false">
      <c r="A12" s="21" t="s">
        <v>665</v>
      </c>
      <c r="B12" s="21"/>
      <c r="C12" s="21"/>
      <c r="D12" s="21"/>
      <c r="E12" s="21"/>
      <c r="F12" s="21"/>
    </row>
    <row r="13" customFormat="false" ht="21.75" hidden="false" customHeight="true" outlineLevel="0" collapsed="false">
      <c r="A13" s="6" t="s">
        <v>666</v>
      </c>
      <c r="B13" s="6" t="s">
        <v>653</v>
      </c>
      <c r="C13" s="6" t="s">
        <v>654</v>
      </c>
      <c r="D13" s="6"/>
      <c r="E13" s="6"/>
      <c r="F13" s="6"/>
    </row>
    <row r="14" customFormat="false" ht="42" hidden="false" customHeight="true" outlineLevel="0" collapsed="false">
      <c r="A14" s="22" t="s">
        <v>667</v>
      </c>
      <c r="B14" s="32" t="n">
        <f aca="false">Trim_30ft_Min</f>
        <v>300</v>
      </c>
      <c r="C14" s="20" t="s">
        <v>668</v>
      </c>
      <c r="D14" s="20"/>
      <c r="E14" s="20"/>
      <c r="F14" s="20"/>
    </row>
    <row r="15" customFormat="false" ht="42" hidden="false" customHeight="true" outlineLevel="0" collapsed="false">
      <c r="A15" s="22" t="s">
        <v>669</v>
      </c>
      <c r="B15" s="32" t="n">
        <f aca="false">Trim_40ft_Min</f>
        <v>400</v>
      </c>
      <c r="C15" s="20" t="s">
        <v>670</v>
      </c>
      <c r="D15" s="20"/>
      <c r="E15" s="20"/>
      <c r="F15" s="20"/>
    </row>
    <row r="17" customFormat="false" ht="15" hidden="false" customHeight="true" outlineLevel="0" collapsed="false">
      <c r="A17" s="21" t="s">
        <v>671</v>
      </c>
      <c r="B17" s="21"/>
      <c r="C17" s="21"/>
      <c r="D17" s="21"/>
      <c r="E17" s="21"/>
      <c r="F17" s="21"/>
    </row>
    <row r="18" customFormat="false" ht="42" hidden="false" customHeight="true" outlineLevel="0" collapsed="false">
      <c r="A18" s="5" t="s">
        <v>672</v>
      </c>
      <c r="B18" s="5"/>
      <c r="C18" s="5"/>
      <c r="D18" s="5"/>
      <c r="E18" s="5"/>
      <c r="F18" s="5"/>
    </row>
    <row r="19" customFormat="false" ht="42" hidden="false" customHeight="true" outlineLevel="0" collapsed="false">
      <c r="A19" s="5" t="s">
        <v>673</v>
      </c>
      <c r="B19" s="5"/>
      <c r="C19" s="5"/>
      <c r="D19" s="5"/>
      <c r="E19" s="5"/>
      <c r="F19" s="5"/>
    </row>
    <row r="20" customFormat="false" ht="42" hidden="false" customHeight="true" outlineLevel="0" collapsed="false">
      <c r="A20" s="5" t="s">
        <v>674</v>
      </c>
      <c r="B20" s="5"/>
      <c r="C20" s="5"/>
      <c r="D20" s="5"/>
      <c r="E20" s="5"/>
      <c r="F20" s="5"/>
    </row>
    <row r="21" customFormat="false" ht="42" hidden="false" customHeight="true" outlineLevel="0" collapsed="false">
      <c r="A21" s="5" t="s">
        <v>675</v>
      </c>
      <c r="B21" s="5"/>
      <c r="C21" s="5"/>
      <c r="D21" s="5"/>
      <c r="E21" s="5"/>
      <c r="F21" s="5"/>
    </row>
    <row r="22" customFormat="false" ht="42" hidden="false" customHeight="true" outlineLevel="0" collapsed="false">
      <c r="A22" s="5" t="s">
        <v>676</v>
      </c>
      <c r="B22" s="5"/>
      <c r="C22" s="5"/>
      <c r="D22" s="5"/>
      <c r="E22" s="5"/>
      <c r="F22" s="5"/>
    </row>
    <row r="24" customFormat="false" ht="15" hidden="false" customHeight="true" outlineLevel="0" collapsed="false">
      <c r="A24" s="21" t="s">
        <v>677</v>
      </c>
      <c r="B24" s="21"/>
      <c r="C24" s="21"/>
      <c r="D24" s="21"/>
      <c r="E24" s="21"/>
      <c r="F24" s="21"/>
    </row>
    <row r="25" customFormat="false" ht="30" hidden="false" customHeight="true" outlineLevel="0" collapsed="false">
      <c r="A25" s="12" t="s">
        <v>678</v>
      </c>
      <c r="B25" s="12"/>
      <c r="C25" s="12"/>
      <c r="D25" s="12"/>
      <c r="E25" s="12"/>
      <c r="F25" s="12"/>
    </row>
    <row r="26" customFormat="false" ht="15" hidden="false" customHeight="true" outlineLevel="0" collapsed="false">
      <c r="A26" s="4" t="s">
        <v>679</v>
      </c>
      <c r="B26" s="38" t="n">
        <v>3</v>
      </c>
    </row>
    <row r="27" customFormat="false" ht="15" hidden="false" customHeight="true" outlineLevel="0" collapsed="false">
      <c r="A27" s="4" t="s">
        <v>680</v>
      </c>
      <c r="B27" s="38" t="s">
        <v>681</v>
      </c>
    </row>
    <row r="28" customFormat="false" ht="15" hidden="false" customHeight="true" outlineLevel="0" collapsed="false">
      <c r="A28" s="4" t="s">
        <v>682</v>
      </c>
      <c r="B28" s="38" t="n">
        <v>35</v>
      </c>
    </row>
    <row r="30" customFormat="false" ht="15" hidden="false" customHeight="true" outlineLevel="0" collapsed="false">
      <c r="A30" s="6" t="s">
        <v>638</v>
      </c>
      <c r="B30" s="6" t="s">
        <v>639</v>
      </c>
      <c r="C30" s="6"/>
      <c r="D30" s="6"/>
      <c r="E30" s="6"/>
      <c r="F30" s="6"/>
    </row>
    <row r="31" customFormat="false" ht="15" hidden="false" customHeight="true" outlineLevel="0" collapsed="false">
      <c r="A31" s="7" t="s">
        <v>683</v>
      </c>
      <c r="B31" s="26" t="n">
        <f aca="false">IF(B26=1, Trim_1_Cut, IF(B26=2, Trim_2_Cuts_Close, IF(B26&gt;=3, Trim_2_Cuts_Close, 0)))</f>
        <v>150</v>
      </c>
      <c r="C31" s="26"/>
      <c r="D31" s="26"/>
      <c r="E31" s="26"/>
      <c r="F31" s="26"/>
    </row>
    <row r="32" customFormat="false" ht="15" hidden="false" customHeight="true" outlineLevel="0" collapsed="false">
      <c r="A32" s="7" t="s">
        <v>684</v>
      </c>
      <c r="B32" s="26" t="n">
        <f aca="false">IF(B27="lifeline", IF(B26&gt;=2, Trim_Multi_Cut_High_Lifeline, Trim_Single_Cut_High_Lifeline), IF(B27="some", Trim_Cut_Requiring_Rigging, 0))</f>
        <v>200</v>
      </c>
      <c r="C32" s="26"/>
      <c r="D32" s="26"/>
      <c r="E32" s="26"/>
      <c r="F32" s="26"/>
    </row>
    <row r="33" customFormat="false" ht="15" hidden="false" customHeight="true" outlineLevel="0" collapsed="false">
      <c r="A33" s="7" t="s">
        <v>640</v>
      </c>
      <c r="B33" s="26" t="n">
        <f aca="false">IF(B28&gt;=40, Trim_40ft_Min, IF(B28&gt;=30, Trim_30ft_Min, 0))</f>
        <v>300</v>
      </c>
      <c r="C33" s="26"/>
      <c r="D33" s="26"/>
      <c r="E33" s="26"/>
      <c r="F33" s="26"/>
    </row>
    <row r="35" customFormat="false" ht="25.5" hidden="false" customHeight="true" outlineLevel="0" collapsed="false">
      <c r="A35" s="40" t="s">
        <v>685</v>
      </c>
      <c r="B35" s="44" t="n">
        <f aca="false">MAX(B31, B32, B33)</f>
        <v>300</v>
      </c>
      <c r="C35" s="44"/>
      <c r="D35" s="44"/>
      <c r="E35" s="44"/>
      <c r="F35" s="44"/>
    </row>
    <row r="36" customFormat="false" ht="30" hidden="false" customHeight="true" outlineLevel="0" collapsed="false">
      <c r="A36" s="12" t="s">
        <v>686</v>
      </c>
      <c r="B36" s="12"/>
      <c r="C36" s="12"/>
      <c r="D36" s="12"/>
      <c r="E36" s="12"/>
      <c r="F36" s="12"/>
    </row>
  </sheetData>
  <mergeCells count="26">
    <mergeCell ref="A2:F2"/>
    <mergeCell ref="A4:F4"/>
    <mergeCell ref="C5:F5"/>
    <mergeCell ref="C6:F6"/>
    <mergeCell ref="C7:F7"/>
    <mergeCell ref="C8:F8"/>
    <mergeCell ref="C9:F9"/>
    <mergeCell ref="C10:F10"/>
    <mergeCell ref="A12:F12"/>
    <mergeCell ref="C13:F13"/>
    <mergeCell ref="C14:F14"/>
    <mergeCell ref="C15:F15"/>
    <mergeCell ref="A17:F17"/>
    <mergeCell ref="A18:F18"/>
    <mergeCell ref="A19:F19"/>
    <mergeCell ref="A20:F20"/>
    <mergeCell ref="A21:F21"/>
    <mergeCell ref="A22:F22"/>
    <mergeCell ref="A24:F24"/>
    <mergeCell ref="A25:F25"/>
    <mergeCell ref="B30:F30"/>
    <mergeCell ref="B31:F31"/>
    <mergeCell ref="B32:F32"/>
    <mergeCell ref="B33:F33"/>
    <mergeCell ref="B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6"/>
    <col collapsed="false" customWidth="true" hidden="false" outlineLevel="0" max="3" min="3" style="1" width="40"/>
    <col collapsed="false" customWidth="true" hidden="false" outlineLevel="0" max="6" min="4" style="1" width="14"/>
  </cols>
  <sheetData>
    <row r="1" customFormat="false" ht="17.25" hidden="false" customHeight="true" outlineLevel="0" collapsed="false">
      <c r="A1" s="2" t="s">
        <v>687</v>
      </c>
    </row>
    <row r="2" customFormat="false" ht="49.5" hidden="false" customHeight="true" outlineLevel="0" collapsed="false">
      <c r="A2" s="12" t="s">
        <v>688</v>
      </c>
      <c r="B2" s="12"/>
      <c r="C2" s="12"/>
      <c r="D2" s="12"/>
      <c r="E2" s="12"/>
      <c r="F2" s="12"/>
    </row>
    <row r="4" customFormat="false" ht="15" hidden="false" customHeight="true" outlineLevel="0" collapsed="false">
      <c r="A4" s="21" t="s">
        <v>689</v>
      </c>
      <c r="B4" s="21"/>
      <c r="C4" s="21"/>
      <c r="D4" s="21"/>
      <c r="E4" s="21"/>
      <c r="F4" s="21"/>
    </row>
    <row r="5" customFormat="false" ht="21.75" hidden="false" customHeight="true" outlineLevel="0" collapsed="false">
      <c r="A5" s="6" t="s">
        <v>195</v>
      </c>
      <c r="B5" s="6" t="s">
        <v>690</v>
      </c>
      <c r="C5" s="6" t="s">
        <v>691</v>
      </c>
      <c r="D5" s="6"/>
      <c r="E5" s="6"/>
      <c r="F5" s="6"/>
    </row>
    <row r="6" customFormat="false" ht="48" hidden="false" customHeight="true" outlineLevel="0" collapsed="false">
      <c r="A6" s="22" t="s">
        <v>692</v>
      </c>
      <c r="B6" s="45" t="s">
        <v>693</v>
      </c>
      <c r="C6" s="20" t="s">
        <v>694</v>
      </c>
      <c r="D6" s="20"/>
      <c r="E6" s="20"/>
      <c r="F6" s="20"/>
    </row>
    <row r="7" customFormat="false" ht="48" hidden="false" customHeight="true" outlineLevel="0" collapsed="false">
      <c r="A7" s="22" t="s">
        <v>695</v>
      </c>
      <c r="B7" s="45" t="s">
        <v>696</v>
      </c>
      <c r="C7" s="20" t="s">
        <v>697</v>
      </c>
      <c r="D7" s="20"/>
      <c r="E7" s="20"/>
      <c r="F7" s="20"/>
    </row>
    <row r="8" customFormat="false" ht="48" hidden="false" customHeight="true" outlineLevel="0" collapsed="false">
      <c r="A8" s="22" t="s">
        <v>698</v>
      </c>
      <c r="B8" s="45" t="s">
        <v>699</v>
      </c>
      <c r="C8" s="20" t="s">
        <v>700</v>
      </c>
      <c r="D8" s="20"/>
      <c r="E8" s="20"/>
      <c r="F8" s="20"/>
    </row>
    <row r="9" customFormat="false" ht="48" hidden="false" customHeight="true" outlineLevel="0" collapsed="false">
      <c r="A9" s="22" t="s">
        <v>701</v>
      </c>
      <c r="B9" s="45" t="s">
        <v>702</v>
      </c>
      <c r="C9" s="20" t="s">
        <v>703</v>
      </c>
      <c r="D9" s="20"/>
      <c r="E9" s="20"/>
      <c r="F9" s="20"/>
    </row>
    <row r="10" customFormat="false" ht="48" hidden="false" customHeight="true" outlineLevel="0" collapsed="false">
      <c r="A10" s="22" t="s">
        <v>704</v>
      </c>
      <c r="B10" s="45" t="s">
        <v>705</v>
      </c>
      <c r="C10" s="20" t="s">
        <v>706</v>
      </c>
      <c r="D10" s="20"/>
      <c r="E10" s="20"/>
      <c r="F10" s="20"/>
    </row>
    <row r="11" customFormat="false" ht="48" hidden="false" customHeight="true" outlineLevel="0" collapsed="false">
      <c r="A11" s="22" t="s">
        <v>707</v>
      </c>
      <c r="B11" s="45" t="s">
        <v>708</v>
      </c>
      <c r="C11" s="20" t="s">
        <v>709</v>
      </c>
      <c r="D11" s="20"/>
      <c r="E11" s="20"/>
      <c r="F11" s="20"/>
    </row>
    <row r="13" customFormat="false" ht="15" hidden="false" customHeight="true" outlineLevel="0" collapsed="false">
      <c r="A13" s="21" t="s">
        <v>710</v>
      </c>
      <c r="B13" s="21"/>
      <c r="C13" s="21"/>
      <c r="D13" s="21"/>
      <c r="E13" s="21"/>
      <c r="F13" s="21"/>
    </row>
    <row r="14" customFormat="false" ht="49.5" hidden="false" customHeight="true" outlineLevel="0" collapsed="false">
      <c r="A14" s="5" t="s">
        <v>711</v>
      </c>
      <c r="B14" s="5"/>
      <c r="C14" s="5"/>
      <c r="D14" s="5"/>
      <c r="E14" s="5"/>
      <c r="F14" s="5"/>
    </row>
    <row r="15" customFormat="false" ht="49.5" hidden="false" customHeight="true" outlineLevel="0" collapsed="false">
      <c r="A15" s="5" t="s">
        <v>712</v>
      </c>
      <c r="B15" s="5"/>
      <c r="C15" s="5"/>
      <c r="D15" s="5"/>
      <c r="E15" s="5"/>
      <c r="F15" s="5"/>
    </row>
    <row r="16" customFormat="false" ht="49.5" hidden="false" customHeight="true" outlineLevel="0" collapsed="false">
      <c r="A16" s="5" t="s">
        <v>713</v>
      </c>
      <c r="B16" s="5"/>
      <c r="C16" s="5"/>
      <c r="D16" s="5"/>
      <c r="E16" s="5"/>
      <c r="F16" s="5"/>
    </row>
    <row r="17" customFormat="false" ht="49.5" hidden="false" customHeight="true" outlineLevel="0" collapsed="false">
      <c r="A17" s="5" t="s">
        <v>714</v>
      </c>
      <c r="B17" s="5"/>
      <c r="C17" s="5"/>
      <c r="D17" s="5"/>
      <c r="E17" s="5"/>
      <c r="F17" s="5"/>
    </row>
    <row r="18" customFormat="false" ht="49.5" hidden="false" customHeight="true" outlineLevel="0" collapsed="false">
      <c r="A18" s="5" t="s">
        <v>715</v>
      </c>
      <c r="B18" s="5"/>
      <c r="C18" s="5"/>
      <c r="D18" s="5"/>
      <c r="E18" s="5"/>
      <c r="F18" s="5"/>
    </row>
    <row r="19" customFormat="false" ht="49.5" hidden="false" customHeight="true" outlineLevel="0" collapsed="false">
      <c r="A19" s="5" t="s">
        <v>716</v>
      </c>
      <c r="B19" s="5"/>
      <c r="C19" s="5"/>
      <c r="D19" s="5"/>
      <c r="E19" s="5"/>
      <c r="F19" s="5"/>
    </row>
    <row r="21" customFormat="false" ht="15" hidden="false" customHeight="true" outlineLevel="0" collapsed="false">
      <c r="A21" s="21" t="s">
        <v>717</v>
      </c>
      <c r="B21" s="21"/>
      <c r="C21" s="21"/>
      <c r="D21" s="21"/>
      <c r="E21" s="21"/>
      <c r="F21" s="21"/>
    </row>
    <row r="22" customFormat="false" ht="24.75" hidden="false" customHeight="true" outlineLevel="0" collapsed="false">
      <c r="A22" s="12" t="s">
        <v>718</v>
      </c>
      <c r="B22" s="12"/>
      <c r="C22" s="12"/>
      <c r="D22" s="12"/>
      <c r="E22" s="12"/>
      <c r="F22" s="12"/>
    </row>
    <row r="23" customFormat="false" ht="15" hidden="false" customHeight="true" outlineLevel="0" collapsed="false">
      <c r="A23" s="4" t="s">
        <v>719</v>
      </c>
      <c r="B23" s="46" t="n">
        <v>1000</v>
      </c>
    </row>
    <row r="24" customFormat="false" ht="15" hidden="false" customHeight="true" outlineLevel="0" collapsed="false">
      <c r="A24" s="4" t="s">
        <v>720</v>
      </c>
      <c r="B24" s="46" t="n">
        <v>200</v>
      </c>
    </row>
    <row r="25" customFormat="false" ht="15" hidden="false" customHeight="true" outlineLevel="0" collapsed="false">
      <c r="A25" s="4" t="s">
        <v>721</v>
      </c>
      <c r="B25" s="38" t="s">
        <v>631</v>
      </c>
    </row>
    <row r="26" customFormat="false" ht="15" hidden="false" customHeight="true" outlineLevel="0" collapsed="false">
      <c r="A26" s="4" t="s">
        <v>722</v>
      </c>
      <c r="B26" s="47" t="n">
        <v>0</v>
      </c>
    </row>
    <row r="27" customFormat="false" ht="15" hidden="false" customHeight="true" outlineLevel="0" collapsed="false">
      <c r="A27" s="4" t="s">
        <v>723</v>
      </c>
      <c r="B27" s="38" t="n">
        <v>0</v>
      </c>
    </row>
    <row r="28" customFormat="false" ht="15" hidden="false" customHeight="true" outlineLevel="0" collapsed="false">
      <c r="A28" s="4" t="s">
        <v>724</v>
      </c>
      <c r="B28" s="38" t="n">
        <v>0</v>
      </c>
    </row>
    <row r="29" customFormat="false" ht="15" hidden="false" customHeight="true" outlineLevel="0" collapsed="false">
      <c r="A29" s="4" t="s">
        <v>725</v>
      </c>
      <c r="B29" s="38" t="s">
        <v>631</v>
      </c>
    </row>
    <row r="31" customFormat="false" ht="15" hidden="false" customHeight="true" outlineLevel="0" collapsed="false">
      <c r="A31" s="6" t="s">
        <v>726</v>
      </c>
      <c r="B31" s="6" t="s">
        <v>727</v>
      </c>
      <c r="C31" s="6" t="s">
        <v>728</v>
      </c>
      <c r="D31" s="6"/>
      <c r="E31" s="6"/>
      <c r="F31" s="6"/>
    </row>
    <row r="32" customFormat="false" ht="15" hidden="false" customHeight="true" outlineLevel="0" collapsed="false">
      <c r="A32" s="7" t="s">
        <v>729</v>
      </c>
      <c r="B32" s="26" t="n">
        <f aca="false">B23</f>
        <v>1000</v>
      </c>
      <c r="C32" s="8" t="s">
        <v>730</v>
      </c>
      <c r="D32" s="8"/>
      <c r="E32" s="8"/>
      <c r="F32" s="8"/>
    </row>
    <row r="33" customFormat="false" ht="15" hidden="false" customHeight="true" outlineLevel="0" collapsed="false">
      <c r="A33" s="7" t="s">
        <v>731</v>
      </c>
      <c r="B33" s="26" t="n">
        <f aca="false">IF(B25="yes", B32 * Poison_Ivy_Multiplier, B32)</f>
        <v>1000</v>
      </c>
      <c r="C33" s="8" t="str">
        <f aca="false">IF(B25="yes", "× 1.5 for poison ivy", "no change")</f>
        <v>no change</v>
      </c>
      <c r="D33" s="8"/>
      <c r="E33" s="8"/>
      <c r="F33" s="8"/>
    </row>
    <row r="34" customFormat="false" ht="15" hidden="false" customHeight="true" outlineLevel="0" collapsed="false">
      <c r="A34" s="7" t="s">
        <v>732</v>
      </c>
      <c r="B34" s="26" t="n">
        <f aca="false">B33 * (1 - B26)</f>
        <v>1000</v>
      </c>
      <c r="C34" s="8" t="str">
        <f aca="false">IF(B26&gt;0, "× (1 - leave-all%)", "no change")</f>
        <v>no change</v>
      </c>
      <c r="D34" s="8"/>
      <c r="E34" s="8"/>
      <c r="F34" s="8"/>
    </row>
    <row r="35" customFormat="false" ht="15" hidden="false" customHeight="true" outlineLevel="0" collapsed="false">
      <c r="A35" s="7" t="s">
        <v>733</v>
      </c>
      <c r="B35" s="26" t="n">
        <f aca="false">IF(B29="yes", B34 * (1 - No_Small_Cleanup_Discount), B34)</f>
        <v>1000</v>
      </c>
      <c r="C35" s="8" t="str">
        <f aca="false">IF(B29="yes", "× 0.9 for no small cleanup", "no change")</f>
        <v>no change</v>
      </c>
      <c r="D35" s="8"/>
      <c r="E35" s="8"/>
      <c r="F35" s="8"/>
    </row>
    <row r="36" customFormat="false" ht="15" hidden="false" customHeight="true" outlineLevel="0" collapsed="false">
      <c r="A36" s="7" t="s">
        <v>734</v>
      </c>
      <c r="B36" s="26" t="n">
        <f aca="false">B35 - (B27 * Leave_Half_Load_Discount) - (B28 * Leave_Full_Load_Discount)</f>
        <v>1000</v>
      </c>
      <c r="C36" s="8" t="str">
        <f aca="false">"-$"&amp;(B27*Leave_Half_Load_Discount + B28*Leave_Full_Load_Discount)&amp;" for logs left"</f>
        <v>-$0 for logs left</v>
      </c>
      <c r="D36" s="8"/>
      <c r="E36" s="8"/>
      <c r="F36" s="8"/>
    </row>
    <row r="37" customFormat="false" ht="27.75" hidden="false" customHeight="true" outlineLevel="0" collapsed="false">
      <c r="A37" s="40" t="s">
        <v>735</v>
      </c>
      <c r="B37" s="44" t="n">
        <f aca="false">MAX(B36, B24)</f>
        <v>1000</v>
      </c>
      <c r="C37" s="7" t="str">
        <f aca="false">IF(B36&lt;B24, "FLOOR PROTECTED — discount partially absorbed", "Discounts fully applied")</f>
        <v>Discounts fully applied</v>
      </c>
      <c r="D37" s="7"/>
      <c r="E37" s="7"/>
      <c r="F37" s="7"/>
    </row>
  </sheetData>
  <mergeCells count="25">
    <mergeCell ref="A2:F2"/>
    <mergeCell ref="A4:F4"/>
    <mergeCell ref="C5:F5"/>
    <mergeCell ref="C6:F6"/>
    <mergeCell ref="C7:F7"/>
    <mergeCell ref="C8:F8"/>
    <mergeCell ref="C9:F9"/>
    <mergeCell ref="C10:F10"/>
    <mergeCell ref="C11:F11"/>
    <mergeCell ref="A13:F13"/>
    <mergeCell ref="A14:F14"/>
    <mergeCell ref="A15:F15"/>
    <mergeCell ref="A16:F16"/>
    <mergeCell ref="A17:F17"/>
    <mergeCell ref="A18:F18"/>
    <mergeCell ref="A19:F19"/>
    <mergeCell ref="A21:F21"/>
    <mergeCell ref="A22:F22"/>
    <mergeCell ref="C31:F31"/>
    <mergeCell ref="C32:F32"/>
    <mergeCell ref="C33:F33"/>
    <mergeCell ref="C34:F34"/>
    <mergeCell ref="C35:F35"/>
    <mergeCell ref="C36:F36"/>
    <mergeCell ref="C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6"/>
    <col collapsed="false" customWidth="true" hidden="false" outlineLevel="0" max="5" min="4" style="1" width="18"/>
    <col collapsed="false" customWidth="true" hidden="false" outlineLevel="0" max="6" min="6" style="1" width="16"/>
  </cols>
  <sheetData>
    <row r="1" customFormat="false" ht="17.25" hidden="false" customHeight="true" outlineLevel="0" collapsed="false">
      <c r="A1" s="2" t="s">
        <v>736</v>
      </c>
    </row>
    <row r="2" customFormat="false" ht="45" hidden="false" customHeight="true" outlineLevel="0" collapsed="false">
      <c r="A2" s="12" t="s">
        <v>737</v>
      </c>
      <c r="B2" s="12"/>
      <c r="C2" s="12"/>
      <c r="D2" s="12"/>
      <c r="E2" s="12"/>
      <c r="F2" s="12"/>
    </row>
    <row r="4" customFormat="false" ht="15" hidden="false" customHeight="true" outlineLevel="0" collapsed="false">
      <c r="A4" s="21" t="s">
        <v>738</v>
      </c>
      <c r="B4" s="21"/>
      <c r="C4" s="21"/>
      <c r="D4" s="21"/>
      <c r="E4" s="21"/>
      <c r="F4" s="21"/>
    </row>
    <row r="5" customFormat="false" ht="21.75" hidden="false" customHeight="true" outlineLevel="0" collapsed="false">
      <c r="A5" s="6" t="s">
        <v>739</v>
      </c>
      <c r="B5" s="6" t="s">
        <v>740</v>
      </c>
      <c r="C5" s="6" t="s">
        <v>195</v>
      </c>
      <c r="D5" s="6" t="s">
        <v>591</v>
      </c>
      <c r="E5" s="6"/>
      <c r="F5" s="6"/>
    </row>
    <row r="6" customFormat="false" ht="54.75" hidden="false" customHeight="true" outlineLevel="0" collapsed="false">
      <c r="A6" s="48" t="s">
        <v>741</v>
      </c>
      <c r="B6" s="49" t="s">
        <v>742</v>
      </c>
      <c r="C6" s="50" t="s">
        <v>743</v>
      </c>
      <c r="D6" s="51" t="s">
        <v>744</v>
      </c>
      <c r="E6" s="51"/>
      <c r="F6" s="51"/>
    </row>
    <row r="7" customFormat="false" ht="54.75" hidden="false" customHeight="true" outlineLevel="0" collapsed="false">
      <c r="A7" s="52" t="s">
        <v>745</v>
      </c>
      <c r="B7" s="53" t="s">
        <v>746</v>
      </c>
      <c r="C7" s="54" t="s">
        <v>747</v>
      </c>
      <c r="D7" s="55" t="s">
        <v>748</v>
      </c>
      <c r="E7" s="55"/>
      <c r="F7" s="55"/>
    </row>
    <row r="8" customFormat="false" ht="54.75" hidden="false" customHeight="true" outlineLevel="0" collapsed="false">
      <c r="A8" s="56" t="s">
        <v>745</v>
      </c>
      <c r="B8" s="57" t="s">
        <v>749</v>
      </c>
      <c r="C8" s="58" t="s">
        <v>747</v>
      </c>
      <c r="D8" s="59" t="s">
        <v>750</v>
      </c>
      <c r="E8" s="59"/>
      <c r="F8" s="59"/>
    </row>
    <row r="9" customFormat="false" ht="54.75" hidden="false" customHeight="true" outlineLevel="0" collapsed="false">
      <c r="A9" s="60" t="s">
        <v>751</v>
      </c>
      <c r="B9" s="61" t="s">
        <v>752</v>
      </c>
      <c r="C9" s="62" t="s">
        <v>753</v>
      </c>
      <c r="D9" s="63" t="s">
        <v>754</v>
      </c>
      <c r="E9" s="63"/>
      <c r="F9" s="63"/>
    </row>
    <row r="11" customFormat="false" ht="15" hidden="false" customHeight="true" outlineLevel="0" collapsed="false">
      <c r="A11" s="21" t="s">
        <v>755</v>
      </c>
      <c r="B11" s="21"/>
      <c r="C11" s="21"/>
      <c r="D11" s="21"/>
      <c r="E11" s="21"/>
      <c r="F11" s="21"/>
    </row>
    <row r="12" customFormat="false" ht="45" hidden="false" customHeight="true" outlineLevel="0" collapsed="false">
      <c r="A12" s="5" t="s">
        <v>756</v>
      </c>
      <c r="B12" s="5"/>
      <c r="C12" s="5"/>
      <c r="D12" s="5"/>
      <c r="E12" s="5"/>
      <c r="F12" s="5"/>
    </row>
    <row r="13" customFormat="false" ht="45" hidden="false" customHeight="true" outlineLevel="0" collapsed="false">
      <c r="A13" s="5" t="s">
        <v>757</v>
      </c>
      <c r="B13" s="5"/>
      <c r="C13" s="5"/>
      <c r="D13" s="5"/>
      <c r="E13" s="5"/>
      <c r="F13" s="5"/>
    </row>
    <row r="14" customFormat="false" ht="45" hidden="false" customHeight="true" outlineLevel="0" collapsed="false">
      <c r="A14" s="5" t="s">
        <v>758</v>
      </c>
      <c r="B14" s="5"/>
      <c r="C14" s="5"/>
      <c r="D14" s="5"/>
      <c r="E14" s="5"/>
      <c r="F14" s="5"/>
    </row>
    <row r="15" customFormat="false" ht="45" hidden="false" customHeight="true" outlineLevel="0" collapsed="false">
      <c r="A15" s="5" t="s">
        <v>759</v>
      </c>
      <c r="B15" s="5"/>
      <c r="C15" s="5"/>
      <c r="D15" s="5"/>
      <c r="E15" s="5"/>
      <c r="F15" s="5"/>
    </row>
    <row r="16" customFormat="false" ht="45" hidden="false" customHeight="true" outlineLevel="0" collapsed="false">
      <c r="A16" s="5" t="s">
        <v>760</v>
      </c>
      <c r="B16" s="5"/>
      <c r="C16" s="5"/>
      <c r="D16" s="5"/>
      <c r="E16" s="5"/>
      <c r="F16" s="5"/>
    </row>
    <row r="17" customFormat="false" ht="45" hidden="false" customHeight="true" outlineLevel="0" collapsed="false">
      <c r="A17" s="5" t="s">
        <v>761</v>
      </c>
      <c r="B17" s="5"/>
      <c r="C17" s="5"/>
      <c r="D17" s="5"/>
      <c r="E17" s="5"/>
      <c r="F17" s="5"/>
    </row>
    <row r="18" customFormat="false" ht="45" hidden="false" customHeight="true" outlineLevel="0" collapsed="false">
      <c r="A18" s="5" t="s">
        <v>762</v>
      </c>
      <c r="B18" s="5"/>
      <c r="C18" s="5"/>
      <c r="D18" s="5"/>
      <c r="E18" s="5"/>
      <c r="F18" s="5"/>
    </row>
    <row r="20" customFormat="false" ht="15" hidden="false" customHeight="true" outlineLevel="0" collapsed="false">
      <c r="A20" s="21" t="s">
        <v>763</v>
      </c>
      <c r="B20" s="21"/>
      <c r="C20" s="21"/>
      <c r="D20" s="21"/>
      <c r="E20" s="21"/>
      <c r="F20" s="21"/>
    </row>
    <row r="21" customFormat="false" ht="42" hidden="false" customHeight="true" outlineLevel="0" collapsed="false">
      <c r="A21" s="22" t="s">
        <v>764</v>
      </c>
      <c r="B21" s="23" t="s">
        <v>765</v>
      </c>
      <c r="C21" s="23"/>
      <c r="D21" s="23"/>
      <c r="E21" s="23"/>
      <c r="F21" s="23"/>
    </row>
    <row r="22" customFormat="false" ht="42" hidden="false" customHeight="true" outlineLevel="0" collapsed="false">
      <c r="A22" s="22" t="s">
        <v>766</v>
      </c>
      <c r="B22" s="23" t="s">
        <v>767</v>
      </c>
      <c r="C22" s="23"/>
      <c r="D22" s="23"/>
      <c r="E22" s="23"/>
      <c r="F22" s="23"/>
    </row>
    <row r="23" customFormat="false" ht="42" hidden="false" customHeight="true" outlineLevel="0" collapsed="false">
      <c r="A23" s="22" t="s">
        <v>768</v>
      </c>
      <c r="B23" s="23" t="s">
        <v>769</v>
      </c>
      <c r="C23" s="23"/>
      <c r="D23" s="23"/>
      <c r="E23" s="23"/>
      <c r="F23" s="23"/>
    </row>
    <row r="24" customFormat="false" ht="42" hidden="false" customHeight="true" outlineLevel="0" collapsed="false">
      <c r="A24" s="22" t="s">
        <v>770</v>
      </c>
      <c r="B24" s="23" t="s">
        <v>771</v>
      </c>
      <c r="C24" s="23"/>
      <c r="D24" s="23"/>
      <c r="E24" s="23"/>
      <c r="F24" s="23"/>
    </row>
    <row r="26" customFormat="false" ht="15" hidden="false" customHeight="true" outlineLevel="0" collapsed="false">
      <c r="A26" s="21" t="s">
        <v>772</v>
      </c>
      <c r="B26" s="21"/>
      <c r="C26" s="21"/>
      <c r="D26" s="21"/>
      <c r="E26" s="21"/>
      <c r="F26" s="21"/>
    </row>
    <row r="27" customFormat="false" ht="30" hidden="false" customHeight="true" outlineLevel="0" collapsed="false">
      <c r="A27" s="12" t="s">
        <v>773</v>
      </c>
      <c r="B27" s="12"/>
      <c r="C27" s="12"/>
      <c r="D27" s="12"/>
      <c r="E27" s="12"/>
      <c r="F27" s="12"/>
    </row>
    <row r="28" customFormat="false" ht="30" hidden="false" customHeight="true" outlineLevel="0" collapsed="false">
      <c r="A28" s="6" t="s">
        <v>774</v>
      </c>
      <c r="B28" s="6" t="s">
        <v>775</v>
      </c>
      <c r="C28" s="6" t="s">
        <v>776</v>
      </c>
      <c r="D28" s="6" t="s">
        <v>777</v>
      </c>
      <c r="E28" s="6" t="s">
        <v>778</v>
      </c>
      <c r="F28" s="6" t="s">
        <v>779</v>
      </c>
    </row>
    <row r="29" customFormat="false" ht="15" hidden="false" customHeight="true" outlineLevel="0" collapsed="false">
      <c r="A29" s="64" t="n">
        <v>1200</v>
      </c>
      <c r="B29" s="64" t="n">
        <v>250</v>
      </c>
      <c r="C29" s="65" t="s">
        <v>780</v>
      </c>
      <c r="D29" s="65" t="s">
        <v>780</v>
      </c>
      <c r="E29" s="65" t="s">
        <v>780</v>
      </c>
      <c r="F29" s="29" t="n">
        <f aca="false">A29 * MAX(IF(C29="Yes", Over_Obstacle_Multiplier, 1),IF(D29="Yes", Over_House_Power_Multiplier, 1),IF(E29="Yes", Over_High_Power_Multiplier, 1)) + B29</f>
        <v>1450</v>
      </c>
    </row>
    <row r="30" customFormat="false" ht="15" hidden="false" customHeight="true" outlineLevel="0" collapsed="false">
      <c r="A30" s="64" t="n">
        <v>1200</v>
      </c>
      <c r="B30" s="64" t="n">
        <v>250</v>
      </c>
      <c r="C30" s="65" t="s">
        <v>781</v>
      </c>
      <c r="D30" s="65" t="s">
        <v>780</v>
      </c>
      <c r="E30" s="65" t="s">
        <v>780</v>
      </c>
      <c r="F30" s="29" t="n">
        <f aca="false">A30 * MAX(IF(C30="Yes", Over_Obstacle_Multiplier, 1),IF(D30="Yes", Over_House_Power_Multiplier, 1),IF(E30="Yes", Over_High_Power_Multiplier, 1)) + B30</f>
        <v>2650</v>
      </c>
    </row>
    <row r="31" customFormat="false" ht="15" hidden="false" customHeight="true" outlineLevel="0" collapsed="false">
      <c r="A31" s="64" t="n">
        <v>1200</v>
      </c>
      <c r="B31" s="64" t="n">
        <v>250</v>
      </c>
      <c r="C31" s="65" t="s">
        <v>780</v>
      </c>
      <c r="D31" s="65" t="s">
        <v>781</v>
      </c>
      <c r="E31" s="65" t="s">
        <v>780</v>
      </c>
      <c r="F31" s="29" t="n">
        <f aca="false">A31 * MAX(IF(C31="Yes", Over_Obstacle_Multiplier, 1),IF(D31="Yes", Over_House_Power_Multiplier, 1),IF(E31="Yes", Over_High_Power_Multiplier, 1)) + B31</f>
        <v>2650</v>
      </c>
    </row>
    <row r="32" customFormat="false" ht="15" hidden="false" customHeight="true" outlineLevel="0" collapsed="false">
      <c r="A32" s="64" t="n">
        <v>1200</v>
      </c>
      <c r="B32" s="64" t="n">
        <v>250</v>
      </c>
      <c r="C32" s="65" t="s">
        <v>780</v>
      </c>
      <c r="D32" s="65" t="s">
        <v>780</v>
      </c>
      <c r="E32" s="65" t="s">
        <v>781</v>
      </c>
      <c r="F32" s="29" t="n">
        <f aca="false">A32 * MAX(IF(C32="Yes", Over_Obstacle_Multiplier, 1),IF(D32="Yes", Over_House_Power_Multiplier, 1),IF(E32="Yes", Over_High_Power_Multiplier, 1)) + B32</f>
        <v>3850</v>
      </c>
    </row>
    <row r="33" customFormat="false" ht="15" hidden="false" customHeight="true" outlineLevel="0" collapsed="false">
      <c r="A33" s="64" t="n">
        <v>1200</v>
      </c>
      <c r="B33" s="64" t="n">
        <v>250</v>
      </c>
      <c r="C33" s="65" t="s">
        <v>781</v>
      </c>
      <c r="D33" s="65" t="s">
        <v>781</v>
      </c>
      <c r="E33" s="65" t="s">
        <v>781</v>
      </c>
      <c r="F33" s="29" t="n">
        <f aca="false">A33 * MAX(IF(C33="Yes", Over_Obstacle_Multiplier, 1),IF(D33="Yes", Over_House_Power_Multiplier, 1),IF(E33="Yes", Over_High_Power_Multiplier, 1)) + B33</f>
        <v>3850</v>
      </c>
    </row>
    <row r="36" customFormat="false" ht="15" hidden="false" customHeight="true" outlineLevel="0" collapsed="false">
      <c r="A36" s="21" t="s">
        <v>782</v>
      </c>
      <c r="B36" s="21"/>
      <c r="C36" s="21"/>
      <c r="D36" s="21"/>
      <c r="E36" s="21"/>
      <c r="F36" s="21"/>
    </row>
    <row r="37" customFormat="false" ht="21.75" hidden="false" customHeight="true" outlineLevel="0" collapsed="false">
      <c r="A37" s="6" t="s">
        <v>783</v>
      </c>
      <c r="B37" s="6" t="s">
        <v>784</v>
      </c>
      <c r="C37" s="6" t="s">
        <v>785</v>
      </c>
      <c r="D37" s="6"/>
      <c r="E37" s="6"/>
      <c r="F37" s="6"/>
    </row>
    <row r="38" customFormat="false" ht="30" hidden="false" customHeight="true" outlineLevel="0" collapsed="false">
      <c r="A38" s="22" t="s">
        <v>786</v>
      </c>
      <c r="B38" s="20" t="s">
        <v>787</v>
      </c>
      <c r="C38" s="20" t="s">
        <v>788</v>
      </c>
      <c r="D38" s="20"/>
      <c r="E38" s="20"/>
      <c r="F38" s="20"/>
    </row>
    <row r="39" customFormat="false" ht="30" hidden="false" customHeight="true" outlineLevel="0" collapsed="false">
      <c r="A39" s="22" t="s">
        <v>789</v>
      </c>
      <c r="B39" s="20" t="s">
        <v>790</v>
      </c>
      <c r="C39" s="20" t="s">
        <v>791</v>
      </c>
      <c r="D39" s="20"/>
      <c r="E39" s="20"/>
      <c r="F39" s="20"/>
    </row>
    <row r="40" customFormat="false" ht="30" hidden="false" customHeight="true" outlineLevel="0" collapsed="false">
      <c r="A40" s="22" t="s">
        <v>792</v>
      </c>
      <c r="B40" s="20" t="s">
        <v>793</v>
      </c>
      <c r="C40" s="20" t="s">
        <v>794</v>
      </c>
      <c r="D40" s="20"/>
      <c r="E40" s="20"/>
      <c r="F40" s="20"/>
    </row>
    <row r="41" customFormat="false" ht="30" hidden="false" customHeight="true" outlineLevel="0" collapsed="false">
      <c r="A41" s="22" t="s">
        <v>795</v>
      </c>
      <c r="B41" s="20" t="s">
        <v>796</v>
      </c>
      <c r="C41" s="20" t="s">
        <v>797</v>
      </c>
      <c r="D41" s="20"/>
      <c r="E41" s="20"/>
      <c r="F41" s="20"/>
    </row>
    <row r="42" customFormat="false" ht="30" hidden="false" customHeight="true" outlineLevel="0" collapsed="false">
      <c r="A42" s="22" t="s">
        <v>798</v>
      </c>
      <c r="B42" s="20" t="s">
        <v>799</v>
      </c>
      <c r="C42" s="20" t="s">
        <v>800</v>
      </c>
      <c r="D42" s="20"/>
      <c r="E42" s="20"/>
      <c r="F42" s="20"/>
    </row>
    <row r="43" customFormat="false" ht="30" hidden="false" customHeight="true" outlineLevel="0" collapsed="false">
      <c r="A43" s="22" t="s">
        <v>801</v>
      </c>
      <c r="B43" s="20" t="s">
        <v>802</v>
      </c>
      <c r="C43" s="20" t="s">
        <v>803</v>
      </c>
      <c r="D43" s="20"/>
      <c r="E43" s="20"/>
      <c r="F43" s="20"/>
    </row>
    <row r="44" customFormat="false" ht="30" hidden="false" customHeight="true" outlineLevel="0" collapsed="false">
      <c r="A44" s="22" t="s">
        <v>804</v>
      </c>
      <c r="B44" s="20" t="s">
        <v>747</v>
      </c>
      <c r="C44" s="20" t="s">
        <v>753</v>
      </c>
      <c r="D44" s="20"/>
      <c r="E44" s="20"/>
      <c r="F44" s="20"/>
    </row>
    <row r="45" customFormat="false" ht="30" hidden="false" customHeight="true" outlineLevel="0" collapsed="false">
      <c r="A45" s="22" t="s">
        <v>805</v>
      </c>
      <c r="B45" s="20" t="s">
        <v>806</v>
      </c>
      <c r="C45" s="20" t="s">
        <v>807</v>
      </c>
      <c r="D45" s="20"/>
      <c r="E45" s="20"/>
      <c r="F45" s="20"/>
    </row>
    <row r="47" customFormat="false" ht="15" hidden="false" customHeight="true" outlineLevel="0" collapsed="false">
      <c r="A47" s="21" t="s">
        <v>808</v>
      </c>
      <c r="B47" s="21"/>
      <c r="C47" s="21"/>
      <c r="D47" s="21"/>
      <c r="E47" s="21"/>
      <c r="F47" s="21"/>
    </row>
    <row r="48" customFormat="false" ht="49.5" hidden="false" customHeight="true" outlineLevel="0" collapsed="false">
      <c r="A48" s="5" t="s">
        <v>809</v>
      </c>
      <c r="B48" s="5"/>
      <c r="C48" s="5"/>
      <c r="D48" s="5"/>
      <c r="E48" s="5"/>
      <c r="F48" s="5"/>
    </row>
    <row r="49" customFormat="false" ht="49.5" hidden="false" customHeight="true" outlineLevel="0" collapsed="false">
      <c r="A49" s="5" t="s">
        <v>810</v>
      </c>
      <c r="B49" s="5"/>
      <c r="C49" s="5"/>
      <c r="D49" s="5"/>
      <c r="E49" s="5"/>
      <c r="F49" s="5"/>
    </row>
    <row r="50" customFormat="false" ht="49.5" hidden="false" customHeight="true" outlineLevel="0" collapsed="false">
      <c r="A50" s="5" t="s">
        <v>811</v>
      </c>
      <c r="B50" s="5"/>
      <c r="C50" s="5"/>
      <c r="D50" s="5"/>
      <c r="E50" s="5"/>
      <c r="F50" s="5"/>
    </row>
    <row r="51" customFormat="false" ht="49.5" hidden="false" customHeight="true" outlineLevel="0" collapsed="false">
      <c r="A51" s="5" t="s">
        <v>812</v>
      </c>
      <c r="B51" s="5"/>
      <c r="C51" s="5"/>
      <c r="D51" s="5"/>
      <c r="E51" s="5"/>
      <c r="F51" s="5"/>
    </row>
    <row r="52" customFormat="false" ht="49.5" hidden="false" customHeight="true" outlineLevel="0" collapsed="false">
      <c r="A52" s="5" t="s">
        <v>813</v>
      </c>
      <c r="B52" s="5"/>
      <c r="C52" s="5"/>
      <c r="D52" s="5"/>
      <c r="E52" s="5"/>
      <c r="F52" s="5"/>
    </row>
  </sheetData>
  <mergeCells count="38">
    <mergeCell ref="A2:F2"/>
    <mergeCell ref="A4:F4"/>
    <mergeCell ref="D5:F5"/>
    <mergeCell ref="D6:F6"/>
    <mergeCell ref="D7:F7"/>
    <mergeCell ref="D8:F8"/>
    <mergeCell ref="D9:F9"/>
    <mergeCell ref="A11:F11"/>
    <mergeCell ref="A12:F12"/>
    <mergeCell ref="A13:F13"/>
    <mergeCell ref="A14:F14"/>
    <mergeCell ref="A15:F15"/>
    <mergeCell ref="A16:F16"/>
    <mergeCell ref="A17:F17"/>
    <mergeCell ref="A18:F18"/>
    <mergeCell ref="A20:F20"/>
    <mergeCell ref="B21:F21"/>
    <mergeCell ref="B22:F22"/>
    <mergeCell ref="B23:F23"/>
    <mergeCell ref="B24:F24"/>
    <mergeCell ref="A26:F26"/>
    <mergeCell ref="A27:F27"/>
    <mergeCell ref="A36:F36"/>
    <mergeCell ref="C37:F37"/>
    <mergeCell ref="C38:F38"/>
    <mergeCell ref="C39:F39"/>
    <mergeCell ref="C40:F40"/>
    <mergeCell ref="C41:F41"/>
    <mergeCell ref="C42:F42"/>
    <mergeCell ref="C43:F43"/>
    <mergeCell ref="C44:F44"/>
    <mergeCell ref="C45:F45"/>
    <mergeCell ref="A47:F47"/>
    <mergeCell ref="A48:F48"/>
    <mergeCell ref="A49:F49"/>
    <mergeCell ref="A50:F50"/>
    <mergeCell ref="A51:F51"/>
    <mergeCell ref="A52:F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8" min="2" style="1" width="16"/>
  </cols>
  <sheetData>
    <row r="1" customFormat="false" ht="17.25" hidden="false" customHeight="true" outlineLevel="0" collapsed="false">
      <c r="A1" s="2" t="s">
        <v>814</v>
      </c>
    </row>
    <row r="2" customFormat="false" ht="30" hidden="false" customHeight="true" outlineLevel="0" collapsed="false">
      <c r="A2" s="12" t="s">
        <v>815</v>
      </c>
      <c r="B2" s="12"/>
      <c r="C2" s="12"/>
      <c r="D2" s="12"/>
      <c r="E2" s="12"/>
      <c r="F2" s="12"/>
      <c r="G2" s="12"/>
      <c r="H2" s="12"/>
    </row>
    <row r="4" customFormat="false" ht="15" hidden="false" customHeight="true" outlineLevel="0" collapsed="false">
      <c r="A4" s="21" t="s">
        <v>816</v>
      </c>
      <c r="B4" s="21"/>
      <c r="C4" s="21"/>
      <c r="D4" s="21"/>
      <c r="E4" s="21"/>
      <c r="F4" s="21"/>
      <c r="G4" s="21"/>
      <c r="H4" s="21"/>
    </row>
    <row r="5" customFormat="false" ht="15" hidden="false" customHeight="true" outlineLevel="0" collapsed="false">
      <c r="A5" s="34" t="s">
        <v>444</v>
      </c>
      <c r="B5" s="66" t="s">
        <v>817</v>
      </c>
      <c r="C5" s="66"/>
      <c r="D5" s="66"/>
      <c r="E5" s="66"/>
      <c r="F5" s="66"/>
      <c r="G5" s="66"/>
      <c r="H5" s="66"/>
    </row>
    <row r="6" customFormat="false" ht="15" hidden="false" customHeight="true" outlineLevel="0" collapsed="false">
      <c r="A6" s="34" t="s">
        <v>818</v>
      </c>
      <c r="B6" s="66" t="s">
        <v>819</v>
      </c>
      <c r="C6" s="66"/>
      <c r="D6" s="66"/>
      <c r="E6" s="66"/>
      <c r="F6" s="66"/>
      <c r="G6" s="66"/>
      <c r="H6" s="66"/>
    </row>
    <row r="7" customFormat="false" ht="15" hidden="false" customHeight="true" outlineLevel="0" collapsed="false">
      <c r="A7" s="34" t="s">
        <v>820</v>
      </c>
      <c r="B7" s="66" t="s">
        <v>821</v>
      </c>
      <c r="C7" s="66"/>
      <c r="D7" s="66"/>
      <c r="E7" s="66"/>
      <c r="F7" s="66"/>
      <c r="G7" s="66"/>
      <c r="H7" s="66"/>
    </row>
    <row r="8" customFormat="false" ht="15" hidden="false" customHeight="true" outlineLevel="0" collapsed="false">
      <c r="A8" s="34" t="s">
        <v>822</v>
      </c>
      <c r="B8" s="66" t="s">
        <v>823</v>
      </c>
      <c r="C8" s="66"/>
      <c r="D8" s="66"/>
      <c r="E8" s="66"/>
      <c r="F8" s="66"/>
      <c r="G8" s="66"/>
      <c r="H8" s="66"/>
    </row>
    <row r="9" customFormat="false" ht="15" hidden="false" customHeight="true" outlineLevel="0" collapsed="false">
      <c r="A9" s="34" t="s">
        <v>824</v>
      </c>
      <c r="B9" s="66" t="s">
        <v>825</v>
      </c>
      <c r="C9" s="66"/>
      <c r="D9" s="66"/>
      <c r="E9" s="66"/>
      <c r="F9" s="66"/>
      <c r="G9" s="66"/>
      <c r="H9" s="66"/>
    </row>
    <row r="10" customFormat="false" ht="15" hidden="false" customHeight="true" outlineLevel="0" collapsed="false">
      <c r="A10" s="34" t="s">
        <v>826</v>
      </c>
      <c r="B10" s="66" t="s">
        <v>827</v>
      </c>
      <c r="C10" s="66"/>
      <c r="D10" s="66"/>
      <c r="E10" s="66"/>
      <c r="F10" s="66"/>
      <c r="G10" s="66"/>
      <c r="H10" s="66"/>
    </row>
    <row r="12" customFormat="false" ht="15" hidden="false" customHeight="true" outlineLevel="0" collapsed="false">
      <c r="A12" s="21" t="s">
        <v>828</v>
      </c>
      <c r="B12" s="21"/>
      <c r="C12" s="21"/>
      <c r="D12" s="21"/>
      <c r="E12" s="21"/>
      <c r="F12" s="21"/>
      <c r="G12" s="21"/>
      <c r="H12" s="21"/>
    </row>
    <row r="13" customFormat="false" ht="30" hidden="false" customHeight="true" outlineLevel="0" collapsed="false">
      <c r="A13" s="6" t="s">
        <v>829</v>
      </c>
      <c r="B13" s="6" t="s">
        <v>830</v>
      </c>
      <c r="C13" s="6" t="s">
        <v>831</v>
      </c>
      <c r="D13" s="6" t="s">
        <v>832</v>
      </c>
      <c r="E13" s="6" t="s">
        <v>833</v>
      </c>
      <c r="F13" s="6" t="s">
        <v>834</v>
      </c>
      <c r="G13" s="6" t="s">
        <v>835</v>
      </c>
      <c r="H13" s="6" t="s">
        <v>836</v>
      </c>
    </row>
    <row r="14" customFormat="false" ht="15" hidden="false" customHeight="true" outlineLevel="0" collapsed="false">
      <c r="A14" s="24" t="n">
        <v>4</v>
      </c>
      <c r="B14" s="24" t="n">
        <f aca="false">A14 + Root_Flare_Margin</f>
        <v>16</v>
      </c>
      <c r="C14" s="36" t="n">
        <f aca="false">PI() * (B14/24)^2</f>
        <v>1.39626340159546</v>
      </c>
      <c r="D14" s="36" t="n">
        <f aca="false">C14 * Backfill_Depth_Cap / 12</f>
        <v>0.349065850398866</v>
      </c>
      <c r="E14" s="36" t="n">
        <f aca="false">C14 * Backfill_Depth_Full / 12</f>
        <v>0.698131700797732</v>
      </c>
      <c r="F14" s="24" t="n">
        <f aca="false">CEILING(D14 / CuFt_Per_Bag, 1)</f>
        <v>1</v>
      </c>
      <c r="G14" s="24" t="n">
        <f aca="false">CEILING(E14 / CuFt_Per_Bag, 1)</f>
        <v>1</v>
      </c>
      <c r="H14" s="67" t="n">
        <f aca="false">E14 / CuFt_Per_CuYd</f>
        <v>0.0258567296591753</v>
      </c>
    </row>
    <row r="15" customFormat="false" ht="15" hidden="false" customHeight="true" outlineLevel="0" collapsed="false">
      <c r="A15" s="24" t="n">
        <v>6</v>
      </c>
      <c r="B15" s="24" t="n">
        <f aca="false">A15 + Root_Flare_Margin</f>
        <v>18</v>
      </c>
      <c r="C15" s="36" t="n">
        <f aca="false">PI() * (B15/24)^2</f>
        <v>1.76714586764426</v>
      </c>
      <c r="D15" s="36" t="n">
        <f aca="false">C15 * Backfill_Depth_Cap / 12</f>
        <v>0.441786466911065</v>
      </c>
      <c r="E15" s="36" t="n">
        <f aca="false">C15 * Backfill_Depth_Full / 12</f>
        <v>0.883572933822129</v>
      </c>
      <c r="F15" s="24" t="n">
        <f aca="false">CEILING(D15 / CuFt_Per_Bag, 1)</f>
        <v>1</v>
      </c>
      <c r="G15" s="24" t="n">
        <f aca="false">CEILING(E15 / CuFt_Per_Bag, 1)</f>
        <v>2</v>
      </c>
      <c r="H15" s="67" t="n">
        <f aca="false">E15 / CuFt_Per_CuYd</f>
        <v>0.0327249234748937</v>
      </c>
    </row>
    <row r="16" customFormat="false" ht="15" hidden="false" customHeight="true" outlineLevel="0" collapsed="false">
      <c r="A16" s="24" t="n">
        <v>8</v>
      </c>
      <c r="B16" s="24" t="n">
        <f aca="false">A16 + Root_Flare_Margin</f>
        <v>20</v>
      </c>
      <c r="C16" s="36" t="n">
        <f aca="false">PI() * (B16/24)^2</f>
        <v>2.18166156499291</v>
      </c>
      <c r="D16" s="36" t="n">
        <f aca="false">C16 * Backfill_Depth_Cap / 12</f>
        <v>0.545415391248228</v>
      </c>
      <c r="E16" s="36" t="n">
        <f aca="false">C16 * Backfill_Depth_Full / 12</f>
        <v>1.09083078249646</v>
      </c>
      <c r="F16" s="24" t="n">
        <f aca="false">CEILING(D16 / CuFt_Per_Bag, 1)</f>
        <v>1</v>
      </c>
      <c r="G16" s="24" t="n">
        <f aca="false">CEILING(E16 / CuFt_Per_Bag, 1)</f>
        <v>2</v>
      </c>
      <c r="H16" s="67" t="n">
        <f aca="false">E16 / CuFt_Per_CuYd</f>
        <v>0.0404011400924613</v>
      </c>
    </row>
    <row r="17" customFormat="false" ht="15" hidden="false" customHeight="true" outlineLevel="0" collapsed="false">
      <c r="A17" s="24" t="n">
        <v>10</v>
      </c>
      <c r="B17" s="24" t="n">
        <f aca="false">A17 + Root_Flare_Margin</f>
        <v>22</v>
      </c>
      <c r="C17" s="36" t="n">
        <f aca="false">PI() * (B17/24)^2</f>
        <v>2.63981049364142</v>
      </c>
      <c r="D17" s="36" t="n">
        <f aca="false">C17 * Backfill_Depth_Cap / 12</f>
        <v>0.659952623410356</v>
      </c>
      <c r="E17" s="36" t="n">
        <f aca="false">C17 * Backfill_Depth_Full / 12</f>
        <v>1.31990524682071</v>
      </c>
      <c r="F17" s="24" t="n">
        <f aca="false">CEILING(D17 / CuFt_Per_Bag, 1)</f>
        <v>1</v>
      </c>
      <c r="G17" s="24" t="n">
        <f aca="false">CEILING(E17 / CuFt_Per_Bag, 1)</f>
        <v>2</v>
      </c>
      <c r="H17" s="67" t="n">
        <f aca="false">E17 / CuFt_Per_CuYd</f>
        <v>0.0488853795118782</v>
      </c>
    </row>
    <row r="18" customFormat="false" ht="15" hidden="false" customHeight="true" outlineLevel="0" collapsed="false">
      <c r="A18" s="24" t="n">
        <v>12</v>
      </c>
      <c r="B18" s="24" t="n">
        <f aca="false">A18 + Root_Flare_Margin</f>
        <v>24</v>
      </c>
      <c r="C18" s="36" t="n">
        <f aca="false">PI() * (B18/24)^2</f>
        <v>3.14159265358979</v>
      </c>
      <c r="D18" s="36" t="n">
        <f aca="false">C18 * Backfill_Depth_Cap / 12</f>
        <v>0.785398163397448</v>
      </c>
      <c r="E18" s="36" t="n">
        <f aca="false">C18 * Backfill_Depth_Full / 12</f>
        <v>1.5707963267949</v>
      </c>
      <c r="F18" s="24" t="n">
        <f aca="false">CEILING(D18 / CuFt_Per_Bag, 1)</f>
        <v>2</v>
      </c>
      <c r="G18" s="24" t="n">
        <f aca="false">CEILING(E18 / CuFt_Per_Bag, 1)</f>
        <v>3</v>
      </c>
      <c r="H18" s="67" t="n">
        <f aca="false">E18 / CuFt_Per_CuYd</f>
        <v>0.0581776417331443</v>
      </c>
    </row>
    <row r="19" customFormat="false" ht="15" hidden="false" customHeight="true" outlineLevel="0" collapsed="false">
      <c r="A19" s="24" t="n">
        <v>14</v>
      </c>
      <c r="B19" s="24" t="n">
        <f aca="false">A19 + Root_Flare_Margin</f>
        <v>26</v>
      </c>
      <c r="C19" s="36" t="n">
        <f aca="false">PI() * (B19/24)^2</f>
        <v>3.68700804483802</v>
      </c>
      <c r="D19" s="36" t="n">
        <f aca="false">C19 * Backfill_Depth_Cap / 12</f>
        <v>0.921752011209505</v>
      </c>
      <c r="E19" s="36" t="n">
        <f aca="false">C19 * Backfill_Depth_Full / 12</f>
        <v>1.84350402241901</v>
      </c>
      <c r="F19" s="24" t="n">
        <f aca="false">CEILING(D19 / CuFt_Per_Bag, 1)</f>
        <v>2</v>
      </c>
      <c r="G19" s="24" t="n">
        <f aca="false">CEILING(E19 / CuFt_Per_Bag, 1)</f>
        <v>3</v>
      </c>
      <c r="H19" s="67" t="n">
        <f aca="false">E19 / CuFt_Per_CuYd</f>
        <v>0.0682779267562596</v>
      </c>
    </row>
    <row r="20" customFormat="false" ht="15" hidden="false" customHeight="true" outlineLevel="0" collapsed="false">
      <c r="A20" s="24" t="n">
        <v>16</v>
      </c>
      <c r="B20" s="24" t="n">
        <f aca="false">A20 + Root_Flare_Margin</f>
        <v>28</v>
      </c>
      <c r="C20" s="36" t="n">
        <f aca="false">PI() * (B20/24)^2</f>
        <v>4.27605666738611</v>
      </c>
      <c r="D20" s="36" t="n">
        <f aca="false">C20 * Backfill_Depth_Cap / 12</f>
        <v>1.06901416684653</v>
      </c>
      <c r="E20" s="36" t="n">
        <f aca="false">C20 * Backfill_Depth_Full / 12</f>
        <v>2.13802833369305</v>
      </c>
      <c r="F20" s="24" t="n">
        <f aca="false">CEILING(D20 / CuFt_Per_Bag, 1)</f>
        <v>2</v>
      </c>
      <c r="G20" s="24" t="n">
        <f aca="false">CEILING(E20 / CuFt_Per_Bag, 1)</f>
        <v>3</v>
      </c>
      <c r="H20" s="67" t="n">
        <f aca="false">E20 / CuFt_Per_CuYd</f>
        <v>0.0791862345812242</v>
      </c>
    </row>
    <row r="21" customFormat="false" ht="15" hidden="false" customHeight="true" outlineLevel="0" collapsed="false">
      <c r="A21" s="24" t="n">
        <v>18</v>
      </c>
      <c r="B21" s="24" t="n">
        <f aca="false">A21 + Root_Flare_Margin</f>
        <v>30</v>
      </c>
      <c r="C21" s="36" t="n">
        <f aca="false">PI() * (B21/24)^2</f>
        <v>4.90873852123405</v>
      </c>
      <c r="D21" s="36" t="n">
        <f aca="false">C21 * Backfill_Depth_Cap / 12</f>
        <v>1.22718463030851</v>
      </c>
      <c r="E21" s="36" t="n">
        <f aca="false">C21 * Backfill_Depth_Full / 12</f>
        <v>2.45436926061703</v>
      </c>
      <c r="F21" s="24" t="n">
        <f aca="false">CEILING(D21 / CuFt_Per_Bag, 1)</f>
        <v>2</v>
      </c>
      <c r="G21" s="24" t="n">
        <f aca="false">CEILING(E21 / CuFt_Per_Bag, 1)</f>
        <v>4</v>
      </c>
      <c r="H21" s="67" t="n">
        <f aca="false">E21 / CuFt_Per_CuYd</f>
        <v>0.090902565208038</v>
      </c>
    </row>
    <row r="22" customFormat="false" ht="15" hidden="false" customHeight="true" outlineLevel="0" collapsed="false">
      <c r="A22" s="24" t="n">
        <v>20</v>
      </c>
      <c r="B22" s="24" t="n">
        <f aca="false">A22 + Root_Flare_Margin</f>
        <v>32</v>
      </c>
      <c r="C22" s="36" t="n">
        <f aca="false">PI() * (B22/24)^2</f>
        <v>5.58505360638185</v>
      </c>
      <c r="D22" s="36" t="n">
        <f aca="false">C22 * Backfill_Depth_Cap / 12</f>
        <v>1.39626340159546</v>
      </c>
      <c r="E22" s="36" t="n">
        <f aca="false">C22 * Backfill_Depth_Full / 12</f>
        <v>2.79252680319093</v>
      </c>
      <c r="F22" s="24" t="n">
        <f aca="false">CEILING(D22 / CuFt_Per_Bag, 1)</f>
        <v>2</v>
      </c>
      <c r="G22" s="24" t="n">
        <f aca="false">CEILING(E22 / CuFt_Per_Bag, 1)</f>
        <v>4</v>
      </c>
      <c r="H22" s="67" t="n">
        <f aca="false">E22 / CuFt_Per_CuYd</f>
        <v>0.103426918636701</v>
      </c>
    </row>
    <row r="23" customFormat="false" ht="15" hidden="false" customHeight="true" outlineLevel="0" collapsed="false">
      <c r="A23" s="24" t="n">
        <v>24</v>
      </c>
      <c r="B23" s="24" t="n">
        <f aca="false">A23 + Root_Flare_Margin</f>
        <v>36</v>
      </c>
      <c r="C23" s="36" t="n">
        <f aca="false">PI() * (B23/24)^2</f>
        <v>7.06858347057703</v>
      </c>
      <c r="D23" s="36" t="n">
        <f aca="false">C23 * Backfill_Depth_Cap / 12</f>
        <v>1.76714586764426</v>
      </c>
      <c r="E23" s="36" t="n">
        <f aca="false">C23 * Backfill_Depth_Full / 12</f>
        <v>3.53429173528852</v>
      </c>
      <c r="F23" s="24" t="n">
        <f aca="false">CEILING(D23 / CuFt_Per_Bag, 1)</f>
        <v>3</v>
      </c>
      <c r="G23" s="24" t="n">
        <f aca="false">CEILING(E23 / CuFt_Per_Bag, 1)</f>
        <v>5</v>
      </c>
      <c r="H23" s="67" t="n">
        <f aca="false">E23 / CuFt_Per_CuYd</f>
        <v>0.130899693899575</v>
      </c>
    </row>
    <row r="24" customFormat="false" ht="15" hidden="false" customHeight="true" outlineLevel="0" collapsed="false">
      <c r="A24" s="24" t="n">
        <v>28</v>
      </c>
      <c r="B24" s="24" t="n">
        <f aca="false">A24 + Root_Flare_Margin</f>
        <v>40</v>
      </c>
      <c r="C24" s="36" t="n">
        <f aca="false">PI() * (B24/24)^2</f>
        <v>8.72664625997165</v>
      </c>
      <c r="D24" s="36" t="n">
        <f aca="false">C24 * Backfill_Depth_Cap / 12</f>
        <v>2.18166156499291</v>
      </c>
      <c r="E24" s="36" t="n">
        <f aca="false">C24 * Backfill_Depth_Full / 12</f>
        <v>4.36332312998582</v>
      </c>
      <c r="F24" s="24" t="n">
        <f aca="false">CEILING(D24 / CuFt_Per_Bag, 1)</f>
        <v>3</v>
      </c>
      <c r="G24" s="24" t="n">
        <f aca="false">CEILING(E24 / CuFt_Per_Bag, 1)</f>
        <v>6</v>
      </c>
      <c r="H24" s="67" t="n">
        <f aca="false">E24 / CuFt_Per_CuYd</f>
        <v>0.161604560369845</v>
      </c>
    </row>
    <row r="25" customFormat="false" ht="15" hidden="false" customHeight="true" outlineLevel="0" collapsed="false">
      <c r="A25" s="24" t="n">
        <v>30</v>
      </c>
      <c r="B25" s="24" t="n">
        <f aca="false">A25 + Root_Flare_Margin</f>
        <v>42</v>
      </c>
      <c r="C25" s="36" t="n">
        <f aca="false">PI() * (B25/24)^2</f>
        <v>9.62112750161874</v>
      </c>
      <c r="D25" s="36" t="n">
        <f aca="false">C25 * Backfill_Depth_Cap / 12</f>
        <v>2.40528187540469</v>
      </c>
      <c r="E25" s="36" t="n">
        <f aca="false">C25 * Backfill_Depth_Full / 12</f>
        <v>4.81056375080937</v>
      </c>
      <c r="F25" s="24" t="n">
        <f aca="false">CEILING(D25 / CuFt_Per_Bag, 1)</f>
        <v>4</v>
      </c>
      <c r="G25" s="24" t="n">
        <f aca="false">CEILING(E25 / CuFt_Per_Bag, 1)</f>
        <v>7</v>
      </c>
      <c r="H25" s="67" t="n">
        <f aca="false">E25 / CuFt_Per_CuYd</f>
        <v>0.178169027807754</v>
      </c>
    </row>
    <row r="26" customFormat="false" ht="15" hidden="false" customHeight="true" outlineLevel="0" collapsed="false">
      <c r="A26" s="24" t="n">
        <v>36</v>
      </c>
      <c r="B26" s="24" t="n">
        <f aca="false">A26 + Root_Flare_Margin</f>
        <v>48</v>
      </c>
      <c r="C26" s="36" t="n">
        <f aca="false">PI() * (B26/24)^2</f>
        <v>12.5663706143592</v>
      </c>
      <c r="D26" s="36" t="n">
        <f aca="false">C26 * Backfill_Depth_Cap / 12</f>
        <v>3.14159265358979</v>
      </c>
      <c r="E26" s="36" t="n">
        <f aca="false">C26 * Backfill_Depth_Full / 12</f>
        <v>6.28318530717959</v>
      </c>
      <c r="F26" s="24" t="n">
        <f aca="false">CEILING(D26 / CuFt_Per_Bag, 1)</f>
        <v>5</v>
      </c>
      <c r="G26" s="24" t="n">
        <f aca="false">CEILING(E26 / CuFt_Per_Bag, 1)</f>
        <v>9</v>
      </c>
      <c r="H26" s="67" t="n">
        <f aca="false">E26 / CuFt_Per_CuYd</f>
        <v>0.232710566932577</v>
      </c>
    </row>
    <row r="27" customFormat="false" ht="15" hidden="false" customHeight="true" outlineLevel="0" collapsed="false">
      <c r="A27" s="24" t="n">
        <v>42</v>
      </c>
      <c r="B27" s="24" t="n">
        <f aca="false">A27 + Root_Flare_Margin</f>
        <v>54</v>
      </c>
      <c r="C27" s="36" t="n">
        <f aca="false">PI() * (B27/24)^2</f>
        <v>15.9043128087983</v>
      </c>
      <c r="D27" s="36" t="n">
        <f aca="false">C27 * Backfill_Depth_Cap / 12</f>
        <v>3.97607820219958</v>
      </c>
      <c r="E27" s="36" t="n">
        <f aca="false">C27 * Backfill_Depth_Full / 12</f>
        <v>7.95215640439916</v>
      </c>
      <c r="F27" s="24" t="n">
        <f aca="false">CEILING(D27 / CuFt_Per_Bag, 1)</f>
        <v>6</v>
      </c>
      <c r="G27" s="24" t="n">
        <f aca="false">CEILING(E27 / CuFt_Per_Bag, 1)</f>
        <v>11</v>
      </c>
      <c r="H27" s="67" t="n">
        <f aca="false">E27 / CuFt_Per_CuYd</f>
        <v>0.294524311274043</v>
      </c>
    </row>
    <row r="28" customFormat="false" ht="15" hidden="false" customHeight="true" outlineLevel="0" collapsed="false">
      <c r="A28" s="24" t="n">
        <v>48</v>
      </c>
      <c r="B28" s="24" t="n">
        <f aca="false">A28 + Root_Flare_Margin</f>
        <v>60</v>
      </c>
      <c r="C28" s="36" t="n">
        <f aca="false">PI() * (B28/24)^2</f>
        <v>19.6349540849362</v>
      </c>
      <c r="D28" s="36" t="n">
        <f aca="false">C28 * Backfill_Depth_Cap / 12</f>
        <v>4.90873852123405</v>
      </c>
      <c r="E28" s="36" t="n">
        <f aca="false">C28 * Backfill_Depth_Full / 12</f>
        <v>9.8174770424681</v>
      </c>
      <c r="F28" s="24" t="n">
        <f aca="false">CEILING(D28 / CuFt_Per_Bag, 1)</f>
        <v>7</v>
      </c>
      <c r="G28" s="24" t="n">
        <f aca="false">CEILING(E28 / CuFt_Per_Bag, 1)</f>
        <v>14</v>
      </c>
      <c r="H28" s="67" t="n">
        <f aca="false">E28 / CuFt_Per_CuYd</f>
        <v>0.363610260832152</v>
      </c>
    </row>
    <row r="29" customFormat="false" ht="15" hidden="false" customHeight="true" outlineLevel="0" collapsed="false">
      <c r="A29" s="24" t="n">
        <v>54</v>
      </c>
      <c r="B29" s="24" t="n">
        <f aca="false">A29 + Root_Flare_Margin</f>
        <v>66</v>
      </c>
      <c r="C29" s="36" t="n">
        <f aca="false">PI() * (B29/24)^2</f>
        <v>23.7582944427728</v>
      </c>
      <c r="D29" s="36" t="n">
        <f aca="false">C29 * Backfill_Depth_Cap / 12</f>
        <v>5.9395736106932</v>
      </c>
      <c r="E29" s="36" t="n">
        <f aca="false">C29 * Backfill_Depth_Full / 12</f>
        <v>11.8791472213864</v>
      </c>
      <c r="F29" s="24" t="n">
        <f aca="false">CEILING(D29 / CuFt_Per_Bag, 1)</f>
        <v>8</v>
      </c>
      <c r="G29" s="24" t="n">
        <f aca="false">CEILING(E29 / CuFt_Per_Bag, 1)</f>
        <v>16</v>
      </c>
      <c r="H29" s="67" t="n">
        <f aca="false">E29 / CuFt_Per_CuYd</f>
        <v>0.439968415606904</v>
      </c>
    </row>
    <row r="30" customFormat="false" ht="15" hidden="false" customHeight="true" outlineLevel="0" collapsed="false">
      <c r="A30" s="24" t="n">
        <v>60</v>
      </c>
      <c r="B30" s="24" t="n">
        <f aca="false">A30 + Root_Flare_Margin</f>
        <v>72</v>
      </c>
      <c r="C30" s="36" t="n">
        <f aca="false">PI() * (B30/24)^2</f>
        <v>28.2743338823081</v>
      </c>
      <c r="D30" s="36" t="n">
        <f aca="false">C30 * Backfill_Depth_Cap / 12</f>
        <v>7.06858347057703</v>
      </c>
      <c r="E30" s="36" t="n">
        <f aca="false">C30 * Backfill_Depth_Full / 12</f>
        <v>14.1371669411541</v>
      </c>
      <c r="F30" s="24" t="n">
        <f aca="false">CEILING(D30 / CuFt_Per_Bag, 1)</f>
        <v>10</v>
      </c>
      <c r="G30" s="24" t="n">
        <f aca="false">CEILING(E30 / CuFt_Per_Bag, 1)</f>
        <v>19</v>
      </c>
      <c r="H30" s="67" t="n">
        <f aca="false">E30 / CuFt_Per_CuYd</f>
        <v>0.523598775598299</v>
      </c>
    </row>
    <row r="32" customFormat="false" ht="15" hidden="false" customHeight="true" outlineLevel="0" collapsed="false">
      <c r="A32" s="21" t="s">
        <v>837</v>
      </c>
      <c r="B32" s="21"/>
      <c r="C32" s="21"/>
      <c r="D32" s="21"/>
      <c r="E32" s="21"/>
      <c r="F32" s="21"/>
      <c r="G32" s="21"/>
      <c r="H32" s="21"/>
    </row>
    <row r="33" customFormat="false" ht="37.5" hidden="false" customHeight="true" outlineLevel="0" collapsed="false">
      <c r="A33" s="5" t="s">
        <v>838</v>
      </c>
      <c r="B33" s="5"/>
      <c r="C33" s="5"/>
      <c r="D33" s="5"/>
      <c r="E33" s="5"/>
      <c r="F33" s="5"/>
      <c r="G33" s="5"/>
      <c r="H33" s="5"/>
    </row>
    <row r="34" customFormat="false" ht="37.5" hidden="false" customHeight="true" outlineLevel="0" collapsed="false">
      <c r="A34" s="5" t="s">
        <v>839</v>
      </c>
      <c r="B34" s="5"/>
      <c r="C34" s="5"/>
      <c r="D34" s="5"/>
      <c r="E34" s="5"/>
      <c r="F34" s="5"/>
      <c r="G34" s="5"/>
      <c r="H34" s="5"/>
    </row>
    <row r="35" customFormat="false" ht="37.5" hidden="false" customHeight="true" outlineLevel="0" collapsed="false">
      <c r="A35" s="5" t="s">
        <v>840</v>
      </c>
      <c r="B35" s="5"/>
      <c r="C35" s="5"/>
      <c r="D35" s="5"/>
      <c r="E35" s="5"/>
      <c r="F35" s="5"/>
      <c r="G35" s="5"/>
      <c r="H35" s="5"/>
    </row>
    <row r="36" customFormat="false" ht="37.5" hidden="false" customHeight="true" outlineLevel="0" collapsed="false">
      <c r="A36" s="5" t="s">
        <v>841</v>
      </c>
      <c r="B36" s="5"/>
      <c r="C36" s="5"/>
      <c r="D36" s="5"/>
      <c r="E36" s="5"/>
      <c r="F36" s="5"/>
      <c r="G36" s="5"/>
      <c r="H36" s="5"/>
    </row>
    <row r="37" customFormat="false" ht="37.5" hidden="false" customHeight="true" outlineLevel="0" collapsed="false">
      <c r="A37" s="5" t="s">
        <v>842</v>
      </c>
      <c r="B37" s="5"/>
      <c r="C37" s="5"/>
      <c r="D37" s="5"/>
      <c r="E37" s="5"/>
      <c r="F37" s="5"/>
      <c r="G37" s="5"/>
      <c r="H37" s="5"/>
    </row>
    <row r="38" customFormat="false" ht="37.5" hidden="false" customHeight="true" outlineLevel="0" collapsed="false">
      <c r="A38" s="5" t="s">
        <v>843</v>
      </c>
      <c r="B38" s="5"/>
      <c r="C38" s="5"/>
      <c r="D38" s="5"/>
      <c r="E38" s="5"/>
      <c r="F38" s="5"/>
      <c r="G38" s="5"/>
      <c r="H38" s="5"/>
    </row>
  </sheetData>
  <mergeCells count="16">
    <mergeCell ref="A2:H2"/>
    <mergeCell ref="A4:H4"/>
    <mergeCell ref="B5:H5"/>
    <mergeCell ref="B6:H6"/>
    <mergeCell ref="B7:H7"/>
    <mergeCell ref="B8:H8"/>
    <mergeCell ref="B9:H9"/>
    <mergeCell ref="B10:H10"/>
    <mergeCell ref="A12:H12"/>
    <mergeCell ref="A32:H32"/>
    <mergeCell ref="A33:H33"/>
    <mergeCell ref="A34:H34"/>
    <mergeCell ref="A35:H35"/>
    <mergeCell ref="A36:H36"/>
    <mergeCell ref="A37:H37"/>
    <mergeCell ref="A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30"/>
    <col collapsed="false" customWidth="true" hidden="false" outlineLevel="0" max="4" min="3" style="1" width="16"/>
    <col collapsed="false" customWidth="true" hidden="false" outlineLevel="0" max="5" min="5" style="1" width="14"/>
  </cols>
  <sheetData>
    <row r="1" customFormat="false" ht="17.25" hidden="false" customHeight="true" outlineLevel="0" collapsed="false">
      <c r="A1" s="2" t="s">
        <v>844</v>
      </c>
    </row>
    <row r="2" customFormat="false" ht="30" hidden="false" customHeight="true" outlineLevel="0" collapsed="false">
      <c r="A2" s="12" t="s">
        <v>845</v>
      </c>
      <c r="B2" s="12"/>
      <c r="C2" s="12"/>
      <c r="D2" s="12"/>
      <c r="E2" s="12"/>
    </row>
    <row r="4" customFormat="false" ht="21.75" hidden="false" customHeight="true" outlineLevel="0" collapsed="false">
      <c r="A4" s="68" t="s">
        <v>846</v>
      </c>
      <c r="B4" s="68"/>
      <c r="C4" s="68"/>
      <c r="D4" s="68"/>
      <c r="E4" s="68"/>
    </row>
    <row r="5" customFormat="false" ht="31.5" hidden="false" customHeight="true" outlineLevel="0" collapsed="false">
      <c r="A5" s="4" t="s">
        <v>847</v>
      </c>
      <c r="B5" s="5" t="s">
        <v>848</v>
      </c>
      <c r="C5" s="5"/>
      <c r="D5" s="5"/>
      <c r="E5" s="5"/>
    </row>
    <row r="6" customFormat="false" ht="15" hidden="false" customHeight="true" outlineLevel="0" collapsed="false">
      <c r="A6" s="6" t="s">
        <v>849</v>
      </c>
      <c r="B6" s="6" t="s">
        <v>61</v>
      </c>
      <c r="C6" s="6"/>
      <c r="D6" s="6"/>
      <c r="E6" s="6" t="s">
        <v>850</v>
      </c>
    </row>
    <row r="7" customFormat="false" ht="31.5" hidden="false" customHeight="true" outlineLevel="0" collapsed="false">
      <c r="A7" s="7" t="s">
        <v>851</v>
      </c>
      <c r="B7" s="23" t="s">
        <v>852</v>
      </c>
      <c r="C7" s="23"/>
      <c r="D7" s="23"/>
      <c r="E7" s="69" t="s">
        <v>542</v>
      </c>
    </row>
    <row r="8" customFormat="false" ht="31.5" hidden="false" customHeight="true" outlineLevel="0" collapsed="false">
      <c r="A8" s="7" t="s">
        <v>853</v>
      </c>
      <c r="B8" s="23" t="s">
        <v>854</v>
      </c>
      <c r="C8" s="23"/>
      <c r="D8" s="23"/>
      <c r="E8" s="69" t="s">
        <v>855</v>
      </c>
    </row>
    <row r="9" customFormat="false" ht="31.5" hidden="false" customHeight="true" outlineLevel="0" collapsed="false">
      <c r="A9" s="7" t="s">
        <v>856</v>
      </c>
      <c r="B9" s="23" t="s">
        <v>857</v>
      </c>
      <c r="C9" s="23"/>
      <c r="D9" s="23"/>
      <c r="E9" s="69" t="s">
        <v>855</v>
      </c>
    </row>
    <row r="10" customFormat="false" ht="15" hidden="false" customHeight="true" outlineLevel="0" collapsed="false">
      <c r="A10" s="40" t="s">
        <v>452</v>
      </c>
      <c r="B10" s="41"/>
      <c r="C10" s="41"/>
      <c r="D10" s="41"/>
      <c r="E10" s="70" t="s">
        <v>542</v>
      </c>
    </row>
    <row r="11" customFormat="false" ht="39.75" hidden="false" customHeight="true" outlineLevel="0" collapsed="false">
      <c r="A11" s="71" t="s">
        <v>858</v>
      </c>
      <c r="B11" s="72" t="s">
        <v>859</v>
      </c>
      <c r="C11" s="72"/>
      <c r="D11" s="72"/>
      <c r="E11" s="72"/>
    </row>
    <row r="13" customFormat="false" ht="21.75" hidden="false" customHeight="true" outlineLevel="0" collapsed="false">
      <c r="A13" s="68" t="s">
        <v>860</v>
      </c>
      <c r="B13" s="68"/>
      <c r="C13" s="68"/>
      <c r="D13" s="68"/>
      <c r="E13" s="68"/>
    </row>
    <row r="14" customFormat="false" ht="31.5" hidden="false" customHeight="true" outlineLevel="0" collapsed="false">
      <c r="A14" s="4" t="s">
        <v>847</v>
      </c>
      <c r="B14" s="5" t="s">
        <v>861</v>
      </c>
      <c r="C14" s="5"/>
      <c r="D14" s="5"/>
      <c r="E14" s="5"/>
    </row>
    <row r="15" customFormat="false" ht="15" hidden="false" customHeight="true" outlineLevel="0" collapsed="false">
      <c r="A15" s="6" t="s">
        <v>849</v>
      </c>
      <c r="B15" s="6" t="s">
        <v>61</v>
      </c>
      <c r="C15" s="6"/>
      <c r="D15" s="6"/>
      <c r="E15" s="6" t="s">
        <v>850</v>
      </c>
    </row>
    <row r="16" customFormat="false" ht="31.5" hidden="false" customHeight="true" outlineLevel="0" collapsed="false">
      <c r="A16" s="7" t="s">
        <v>862</v>
      </c>
      <c r="B16" s="23" t="s">
        <v>863</v>
      </c>
      <c r="C16" s="23"/>
      <c r="D16" s="23"/>
      <c r="E16" s="69" t="s">
        <v>864</v>
      </c>
    </row>
    <row r="17" customFormat="false" ht="31.5" hidden="false" customHeight="true" outlineLevel="0" collapsed="false">
      <c r="A17" s="7" t="s">
        <v>853</v>
      </c>
      <c r="B17" s="23" t="s">
        <v>865</v>
      </c>
      <c r="C17" s="23"/>
      <c r="D17" s="23"/>
      <c r="E17" s="69" t="s">
        <v>864</v>
      </c>
    </row>
    <row r="18" customFormat="false" ht="31.5" hidden="false" customHeight="true" outlineLevel="0" collapsed="false">
      <c r="A18" s="7" t="s">
        <v>856</v>
      </c>
      <c r="B18" s="23" t="s">
        <v>866</v>
      </c>
      <c r="C18" s="23"/>
      <c r="D18" s="23"/>
      <c r="E18" s="69" t="s">
        <v>867</v>
      </c>
    </row>
    <row r="19" customFormat="false" ht="15" hidden="false" customHeight="true" outlineLevel="0" collapsed="false">
      <c r="A19" s="40" t="s">
        <v>452</v>
      </c>
      <c r="B19" s="41"/>
      <c r="C19" s="41"/>
      <c r="D19" s="41"/>
      <c r="E19" s="70" t="s">
        <v>868</v>
      </c>
    </row>
    <row r="20" customFormat="false" ht="39.75" hidden="false" customHeight="true" outlineLevel="0" collapsed="false">
      <c r="A20" s="71" t="s">
        <v>858</v>
      </c>
      <c r="B20" s="72" t="s">
        <v>869</v>
      </c>
      <c r="C20" s="72"/>
      <c r="D20" s="72"/>
      <c r="E20" s="72"/>
    </row>
    <row r="22" customFormat="false" ht="21.75" hidden="false" customHeight="true" outlineLevel="0" collapsed="false">
      <c r="A22" s="68" t="s">
        <v>870</v>
      </c>
      <c r="B22" s="68"/>
      <c r="C22" s="68"/>
      <c r="D22" s="68"/>
      <c r="E22" s="68"/>
    </row>
    <row r="23" customFormat="false" ht="31.5" hidden="false" customHeight="true" outlineLevel="0" collapsed="false">
      <c r="A23" s="4" t="s">
        <v>847</v>
      </c>
      <c r="B23" s="5" t="s">
        <v>871</v>
      </c>
      <c r="C23" s="5"/>
      <c r="D23" s="5"/>
      <c r="E23" s="5"/>
    </row>
    <row r="24" customFormat="false" ht="15" hidden="false" customHeight="true" outlineLevel="0" collapsed="false">
      <c r="A24" s="6" t="s">
        <v>849</v>
      </c>
      <c r="B24" s="6" t="s">
        <v>61</v>
      </c>
      <c r="C24" s="6"/>
      <c r="D24" s="6"/>
      <c r="E24" s="6" t="s">
        <v>850</v>
      </c>
    </row>
    <row r="25" customFormat="false" ht="31.5" hidden="false" customHeight="true" outlineLevel="0" collapsed="false">
      <c r="A25" s="7" t="s">
        <v>872</v>
      </c>
      <c r="B25" s="23" t="s">
        <v>873</v>
      </c>
      <c r="C25" s="23"/>
      <c r="D25" s="23"/>
      <c r="E25" s="69" t="s">
        <v>874</v>
      </c>
    </row>
    <row r="26" customFormat="false" ht="31.5" hidden="false" customHeight="true" outlineLevel="0" collapsed="false">
      <c r="A26" s="7" t="s">
        <v>875</v>
      </c>
      <c r="B26" s="23" t="s">
        <v>876</v>
      </c>
      <c r="C26" s="23"/>
      <c r="D26" s="23"/>
      <c r="E26" s="69" t="s">
        <v>877</v>
      </c>
    </row>
    <row r="27" customFormat="false" ht="31.5" hidden="false" customHeight="true" outlineLevel="0" collapsed="false">
      <c r="A27" s="7" t="s">
        <v>878</v>
      </c>
      <c r="B27" s="23" t="s">
        <v>879</v>
      </c>
      <c r="C27" s="23"/>
      <c r="D27" s="23"/>
      <c r="E27" s="69" t="s">
        <v>880</v>
      </c>
    </row>
    <row r="28" customFormat="false" ht="31.5" hidden="false" customHeight="true" outlineLevel="0" collapsed="false">
      <c r="A28" s="7" t="s">
        <v>881</v>
      </c>
      <c r="B28" s="23" t="s">
        <v>882</v>
      </c>
      <c r="C28" s="23"/>
      <c r="D28" s="23"/>
      <c r="E28" s="69" t="s">
        <v>883</v>
      </c>
    </row>
    <row r="29" customFormat="false" ht="31.5" hidden="false" customHeight="true" outlineLevel="0" collapsed="false">
      <c r="A29" s="7" t="s">
        <v>884</v>
      </c>
      <c r="B29" s="23" t="s">
        <v>885</v>
      </c>
      <c r="C29" s="23"/>
      <c r="D29" s="23"/>
      <c r="E29" s="69" t="s">
        <v>886</v>
      </c>
    </row>
    <row r="30" customFormat="false" ht="31.5" hidden="false" customHeight="true" outlineLevel="0" collapsed="false">
      <c r="A30" s="7" t="s">
        <v>887</v>
      </c>
      <c r="B30" s="23" t="s">
        <v>888</v>
      </c>
      <c r="C30" s="23"/>
      <c r="D30" s="23"/>
      <c r="E30" s="69" t="s">
        <v>889</v>
      </c>
    </row>
    <row r="31" customFormat="false" ht="31.5" hidden="false" customHeight="true" outlineLevel="0" collapsed="false">
      <c r="A31" s="7" t="s">
        <v>853</v>
      </c>
      <c r="B31" s="23" t="s">
        <v>890</v>
      </c>
      <c r="C31" s="23"/>
      <c r="D31" s="23"/>
      <c r="E31" s="69" t="s">
        <v>889</v>
      </c>
    </row>
    <row r="32" customFormat="false" ht="31.5" hidden="false" customHeight="true" outlineLevel="0" collapsed="false">
      <c r="A32" s="7" t="s">
        <v>856</v>
      </c>
      <c r="B32" s="23" t="s">
        <v>891</v>
      </c>
      <c r="C32" s="23"/>
      <c r="D32" s="23"/>
      <c r="E32" s="69" t="s">
        <v>892</v>
      </c>
    </row>
    <row r="33" customFormat="false" ht="15" hidden="false" customHeight="true" outlineLevel="0" collapsed="false">
      <c r="A33" s="40" t="s">
        <v>452</v>
      </c>
      <c r="B33" s="41"/>
      <c r="C33" s="41"/>
      <c r="D33" s="41"/>
      <c r="E33" s="70" t="s">
        <v>893</v>
      </c>
    </row>
    <row r="34" customFormat="false" ht="39.75" hidden="false" customHeight="true" outlineLevel="0" collapsed="false">
      <c r="A34" s="71" t="s">
        <v>858</v>
      </c>
      <c r="B34" s="72" t="s">
        <v>894</v>
      </c>
      <c r="C34" s="72"/>
      <c r="D34" s="72"/>
      <c r="E34" s="72"/>
    </row>
    <row r="36" customFormat="false" ht="21.75" hidden="false" customHeight="true" outlineLevel="0" collapsed="false">
      <c r="A36" s="68" t="s">
        <v>895</v>
      </c>
      <c r="B36" s="68"/>
      <c r="C36" s="68"/>
      <c r="D36" s="68"/>
      <c r="E36" s="68"/>
    </row>
    <row r="37" customFormat="false" ht="31.5" hidden="false" customHeight="true" outlineLevel="0" collapsed="false">
      <c r="A37" s="4" t="s">
        <v>847</v>
      </c>
      <c r="B37" s="5" t="s">
        <v>896</v>
      </c>
      <c r="C37" s="5"/>
      <c r="D37" s="5"/>
      <c r="E37" s="5"/>
    </row>
    <row r="38" customFormat="false" ht="15" hidden="false" customHeight="true" outlineLevel="0" collapsed="false">
      <c r="A38" s="6" t="s">
        <v>849</v>
      </c>
      <c r="B38" s="6" t="s">
        <v>61</v>
      </c>
      <c r="C38" s="6"/>
      <c r="D38" s="6"/>
      <c r="E38" s="6" t="s">
        <v>850</v>
      </c>
    </row>
    <row r="39" customFormat="false" ht="31.5" hidden="false" customHeight="true" outlineLevel="0" collapsed="false">
      <c r="A39" s="7" t="s">
        <v>897</v>
      </c>
      <c r="B39" s="23" t="s">
        <v>898</v>
      </c>
      <c r="C39" s="23"/>
      <c r="D39" s="23"/>
      <c r="E39" s="69" t="s">
        <v>899</v>
      </c>
    </row>
    <row r="40" customFormat="false" ht="31.5" hidden="false" customHeight="true" outlineLevel="0" collapsed="false">
      <c r="A40" s="7" t="s">
        <v>853</v>
      </c>
      <c r="B40" s="23" t="s">
        <v>900</v>
      </c>
      <c r="C40" s="23"/>
      <c r="D40" s="23"/>
      <c r="E40" s="69" t="s">
        <v>901</v>
      </c>
    </row>
    <row r="41" customFormat="false" ht="31.5" hidden="false" customHeight="true" outlineLevel="0" collapsed="false">
      <c r="A41" s="7" t="s">
        <v>856</v>
      </c>
      <c r="B41" s="23" t="s">
        <v>902</v>
      </c>
      <c r="C41" s="23"/>
      <c r="D41" s="23"/>
      <c r="E41" s="69" t="s">
        <v>903</v>
      </c>
    </row>
    <row r="42" customFormat="false" ht="15" hidden="false" customHeight="true" outlineLevel="0" collapsed="false">
      <c r="A42" s="40" t="s">
        <v>452</v>
      </c>
      <c r="B42" s="41"/>
      <c r="C42" s="41"/>
      <c r="D42" s="41"/>
      <c r="E42" s="70" t="s">
        <v>904</v>
      </c>
    </row>
    <row r="43" customFormat="false" ht="39.75" hidden="false" customHeight="true" outlineLevel="0" collapsed="false">
      <c r="A43" s="71" t="s">
        <v>858</v>
      </c>
      <c r="B43" s="72" t="s">
        <v>905</v>
      </c>
      <c r="C43" s="72"/>
      <c r="D43" s="72"/>
      <c r="E43" s="72"/>
    </row>
    <row r="45" customFormat="false" ht="21.75" hidden="false" customHeight="true" outlineLevel="0" collapsed="false">
      <c r="A45" s="68" t="s">
        <v>906</v>
      </c>
      <c r="B45" s="68"/>
      <c r="C45" s="68"/>
      <c r="D45" s="68"/>
      <c r="E45" s="68"/>
    </row>
    <row r="46" customFormat="false" ht="31.5" hidden="false" customHeight="true" outlineLevel="0" collapsed="false">
      <c r="A46" s="4" t="s">
        <v>847</v>
      </c>
      <c r="B46" s="5" t="s">
        <v>907</v>
      </c>
      <c r="C46" s="5"/>
      <c r="D46" s="5"/>
      <c r="E46" s="5"/>
    </row>
    <row r="47" customFormat="false" ht="15" hidden="false" customHeight="true" outlineLevel="0" collapsed="false">
      <c r="A47" s="6" t="s">
        <v>849</v>
      </c>
      <c r="B47" s="6" t="s">
        <v>61</v>
      </c>
      <c r="C47" s="6"/>
      <c r="D47" s="6"/>
      <c r="E47" s="6" t="s">
        <v>850</v>
      </c>
    </row>
    <row r="48" customFormat="false" ht="31.5" hidden="false" customHeight="true" outlineLevel="0" collapsed="false">
      <c r="A48" s="7" t="s">
        <v>908</v>
      </c>
      <c r="B48" s="23" t="s">
        <v>909</v>
      </c>
      <c r="C48" s="23"/>
      <c r="D48" s="23"/>
      <c r="E48" s="69" t="s">
        <v>910</v>
      </c>
    </row>
    <row r="49" customFormat="false" ht="31.5" hidden="false" customHeight="true" outlineLevel="0" collapsed="false">
      <c r="A49" s="7" t="s">
        <v>73</v>
      </c>
      <c r="B49" s="23" t="s">
        <v>911</v>
      </c>
      <c r="C49" s="23"/>
      <c r="D49" s="23"/>
      <c r="E49" s="69" t="s">
        <v>910</v>
      </c>
    </row>
    <row r="50" customFormat="false" ht="31.5" hidden="false" customHeight="true" outlineLevel="0" collapsed="false">
      <c r="A50" s="7" t="s">
        <v>912</v>
      </c>
      <c r="B50" s="23" t="s">
        <v>913</v>
      </c>
      <c r="C50" s="23"/>
      <c r="D50" s="23"/>
      <c r="E50" s="69" t="s">
        <v>910</v>
      </c>
    </row>
    <row r="51" customFormat="false" ht="31.5" hidden="false" customHeight="true" outlineLevel="0" collapsed="false">
      <c r="A51" s="7" t="s">
        <v>914</v>
      </c>
      <c r="B51" s="23" t="s">
        <v>911</v>
      </c>
      <c r="C51" s="23"/>
      <c r="D51" s="23"/>
      <c r="E51" s="69" t="s">
        <v>910</v>
      </c>
    </row>
    <row r="52" customFormat="false" ht="31.5" hidden="false" customHeight="true" outlineLevel="0" collapsed="false">
      <c r="A52" s="7" t="s">
        <v>85</v>
      </c>
      <c r="B52" s="23" t="s">
        <v>915</v>
      </c>
      <c r="C52" s="23"/>
      <c r="D52" s="23"/>
      <c r="E52" s="69" t="s">
        <v>916</v>
      </c>
    </row>
    <row r="53" customFormat="false" ht="31.5" hidden="false" customHeight="true" outlineLevel="0" collapsed="false">
      <c r="A53" s="7" t="s">
        <v>917</v>
      </c>
      <c r="B53" s="23" t="s">
        <v>918</v>
      </c>
      <c r="C53" s="23"/>
      <c r="D53" s="23"/>
      <c r="E53" s="69" t="s">
        <v>919</v>
      </c>
    </row>
    <row r="54" customFormat="false" ht="31.5" hidden="false" customHeight="true" outlineLevel="0" collapsed="false">
      <c r="A54" s="7" t="s">
        <v>853</v>
      </c>
      <c r="B54" s="23" t="s">
        <v>920</v>
      </c>
      <c r="C54" s="23"/>
      <c r="D54" s="23"/>
      <c r="E54" s="69" t="s">
        <v>919</v>
      </c>
    </row>
    <row r="55" customFormat="false" ht="15" hidden="false" customHeight="true" outlineLevel="0" collapsed="false">
      <c r="A55" s="40" t="s">
        <v>452</v>
      </c>
      <c r="B55" s="41"/>
      <c r="C55" s="41"/>
      <c r="D55" s="41"/>
      <c r="E55" s="70" t="s">
        <v>921</v>
      </c>
    </row>
    <row r="56" customFormat="false" ht="39.75" hidden="false" customHeight="true" outlineLevel="0" collapsed="false">
      <c r="A56" s="71" t="s">
        <v>858</v>
      </c>
      <c r="B56" s="72" t="s">
        <v>922</v>
      </c>
      <c r="C56" s="72"/>
      <c r="D56" s="72"/>
      <c r="E56" s="72"/>
    </row>
    <row r="58" customFormat="false" ht="21.75" hidden="false" customHeight="true" outlineLevel="0" collapsed="false">
      <c r="A58" s="68" t="s">
        <v>923</v>
      </c>
      <c r="B58" s="68"/>
      <c r="C58" s="68"/>
      <c r="D58" s="68"/>
      <c r="E58" s="68"/>
    </row>
    <row r="59" customFormat="false" ht="39.75" hidden="false" customHeight="true" outlineLevel="0" collapsed="false">
      <c r="A59" s="4" t="s">
        <v>847</v>
      </c>
      <c r="B59" s="5" t="s">
        <v>924</v>
      </c>
      <c r="C59" s="5"/>
      <c r="D59" s="5"/>
      <c r="E59" s="5"/>
    </row>
    <row r="60" customFormat="false" ht="15" hidden="false" customHeight="true" outlineLevel="0" collapsed="false">
      <c r="A60" s="6" t="s">
        <v>849</v>
      </c>
      <c r="B60" s="6" t="s">
        <v>61</v>
      </c>
      <c r="C60" s="6"/>
      <c r="D60" s="6"/>
      <c r="E60" s="6" t="s">
        <v>850</v>
      </c>
    </row>
    <row r="61" customFormat="false" ht="31.5" hidden="false" customHeight="true" outlineLevel="0" collapsed="false">
      <c r="A61" s="7" t="s">
        <v>925</v>
      </c>
      <c r="B61" s="23" t="s">
        <v>926</v>
      </c>
      <c r="C61" s="23"/>
      <c r="D61" s="23"/>
      <c r="E61" s="69" t="s">
        <v>916</v>
      </c>
    </row>
    <row r="62" customFormat="false" ht="31.5" hidden="false" customHeight="true" outlineLevel="0" collapsed="false">
      <c r="A62" s="7" t="s">
        <v>927</v>
      </c>
      <c r="B62" s="23" t="s">
        <v>928</v>
      </c>
      <c r="C62" s="23"/>
      <c r="D62" s="23"/>
      <c r="E62" s="69" t="s">
        <v>916</v>
      </c>
    </row>
    <row r="63" customFormat="false" ht="31.5" hidden="false" customHeight="true" outlineLevel="0" collapsed="false">
      <c r="A63" s="7" t="s">
        <v>929</v>
      </c>
      <c r="B63" s="23" t="s">
        <v>930</v>
      </c>
      <c r="C63" s="23"/>
      <c r="D63" s="23"/>
      <c r="E63" s="69" t="s">
        <v>544</v>
      </c>
    </row>
    <row r="64" customFormat="false" ht="31.5" hidden="false" customHeight="true" outlineLevel="0" collapsed="false">
      <c r="A64" s="7" t="s">
        <v>931</v>
      </c>
      <c r="B64" s="23" t="s">
        <v>932</v>
      </c>
      <c r="C64" s="23"/>
      <c r="D64" s="23"/>
      <c r="E64" s="69" t="s">
        <v>916</v>
      </c>
    </row>
    <row r="65" customFormat="false" ht="15" hidden="false" customHeight="true" outlineLevel="0" collapsed="false">
      <c r="A65" s="40" t="s">
        <v>452</v>
      </c>
      <c r="B65" s="41"/>
      <c r="C65" s="41"/>
      <c r="D65" s="41"/>
      <c r="E65" s="70" t="s">
        <v>916</v>
      </c>
    </row>
    <row r="66" customFormat="false" ht="49.5" hidden="false" customHeight="true" outlineLevel="0" collapsed="false">
      <c r="A66" s="71" t="s">
        <v>858</v>
      </c>
      <c r="B66" s="72" t="s">
        <v>933</v>
      </c>
      <c r="C66" s="72"/>
      <c r="D66" s="72"/>
      <c r="E66" s="72"/>
    </row>
    <row r="68" customFormat="false" ht="21.75" hidden="false" customHeight="true" outlineLevel="0" collapsed="false">
      <c r="A68" s="68" t="s">
        <v>934</v>
      </c>
      <c r="B68" s="68"/>
      <c r="C68" s="68"/>
      <c r="D68" s="68"/>
      <c r="E68" s="68"/>
    </row>
    <row r="69" customFormat="false" ht="39.75" hidden="false" customHeight="true" outlineLevel="0" collapsed="false">
      <c r="A69" s="4" t="s">
        <v>847</v>
      </c>
      <c r="B69" s="5" t="s">
        <v>935</v>
      </c>
      <c r="C69" s="5"/>
      <c r="D69" s="5"/>
      <c r="E69" s="5"/>
    </row>
    <row r="70" customFormat="false" ht="15" hidden="false" customHeight="true" outlineLevel="0" collapsed="false">
      <c r="A70" s="6" t="s">
        <v>849</v>
      </c>
      <c r="B70" s="6" t="s">
        <v>61</v>
      </c>
      <c r="C70" s="6"/>
      <c r="D70" s="6"/>
      <c r="E70" s="6" t="s">
        <v>850</v>
      </c>
    </row>
    <row r="71" customFormat="false" ht="31.5" hidden="false" customHeight="true" outlineLevel="0" collapsed="false">
      <c r="A71" s="7" t="s">
        <v>936</v>
      </c>
      <c r="B71" s="23" t="s">
        <v>937</v>
      </c>
      <c r="C71" s="23"/>
      <c r="D71" s="23"/>
      <c r="E71" s="69" t="s">
        <v>548</v>
      </c>
    </row>
    <row r="72" customFormat="false" ht="31.5" hidden="false" customHeight="true" outlineLevel="0" collapsed="false">
      <c r="A72" s="7" t="s">
        <v>929</v>
      </c>
      <c r="B72" s="23" t="s">
        <v>938</v>
      </c>
      <c r="C72" s="23"/>
      <c r="D72" s="23"/>
      <c r="E72" s="69" t="s">
        <v>939</v>
      </c>
    </row>
    <row r="73" customFormat="false" ht="31.5" hidden="false" customHeight="true" outlineLevel="0" collapsed="false">
      <c r="A73" s="7" t="s">
        <v>940</v>
      </c>
      <c r="B73" s="23" t="s">
        <v>941</v>
      </c>
      <c r="C73" s="23"/>
      <c r="D73" s="23"/>
      <c r="E73" s="69" t="s">
        <v>939</v>
      </c>
    </row>
    <row r="74" customFormat="false" ht="31.5" hidden="false" customHeight="true" outlineLevel="0" collapsed="false">
      <c r="A74" s="7" t="s">
        <v>942</v>
      </c>
      <c r="B74" s="23" t="s">
        <v>943</v>
      </c>
      <c r="C74" s="23"/>
      <c r="D74" s="23"/>
      <c r="E74" s="69"/>
    </row>
    <row r="75" customFormat="false" ht="39" hidden="false" customHeight="true" outlineLevel="0" collapsed="false">
      <c r="A75" s="40" t="s">
        <v>452</v>
      </c>
      <c r="B75" s="41"/>
      <c r="C75" s="41"/>
      <c r="D75" s="41"/>
      <c r="E75" s="70" t="s">
        <v>944</v>
      </c>
    </row>
    <row r="76" customFormat="false" ht="49.5" hidden="false" customHeight="true" outlineLevel="0" collapsed="false">
      <c r="A76" s="71" t="s">
        <v>858</v>
      </c>
      <c r="B76" s="72" t="s">
        <v>945</v>
      </c>
      <c r="C76" s="72"/>
      <c r="D76" s="72"/>
      <c r="E76" s="72"/>
    </row>
    <row r="78" customFormat="false" ht="21.75" hidden="false" customHeight="true" outlineLevel="0" collapsed="false">
      <c r="A78" s="68" t="s">
        <v>946</v>
      </c>
      <c r="B78" s="68"/>
      <c r="C78" s="68"/>
      <c r="D78" s="68"/>
      <c r="E78" s="68"/>
    </row>
    <row r="79" customFormat="false" ht="39.75" hidden="false" customHeight="true" outlineLevel="0" collapsed="false">
      <c r="A79" s="4" t="s">
        <v>847</v>
      </c>
      <c r="B79" s="5" t="s">
        <v>947</v>
      </c>
      <c r="C79" s="5"/>
      <c r="D79" s="5"/>
      <c r="E79" s="5"/>
    </row>
    <row r="80" customFormat="false" ht="15" hidden="false" customHeight="true" outlineLevel="0" collapsed="false">
      <c r="A80" s="6" t="s">
        <v>849</v>
      </c>
      <c r="B80" s="6" t="s">
        <v>61</v>
      </c>
      <c r="C80" s="6"/>
      <c r="D80" s="6"/>
      <c r="E80" s="6" t="s">
        <v>850</v>
      </c>
    </row>
    <row r="81" customFormat="false" ht="31.5" hidden="false" customHeight="true" outlineLevel="0" collapsed="false">
      <c r="A81" s="7" t="s">
        <v>948</v>
      </c>
      <c r="B81" s="23" t="s">
        <v>949</v>
      </c>
      <c r="C81" s="23"/>
      <c r="D81" s="23"/>
      <c r="E81" s="69" t="s">
        <v>910</v>
      </c>
    </row>
    <row r="82" customFormat="false" ht="31.5" hidden="false" customHeight="true" outlineLevel="0" collapsed="false">
      <c r="A82" s="7" t="s">
        <v>950</v>
      </c>
      <c r="B82" s="23" t="s">
        <v>949</v>
      </c>
      <c r="C82" s="23"/>
      <c r="D82" s="23"/>
      <c r="E82" s="69" t="s">
        <v>910</v>
      </c>
    </row>
    <row r="83" customFormat="false" ht="31.5" hidden="false" customHeight="true" outlineLevel="0" collapsed="false">
      <c r="A83" s="7" t="s">
        <v>951</v>
      </c>
      <c r="B83" s="23" t="s">
        <v>952</v>
      </c>
      <c r="C83" s="23"/>
      <c r="D83" s="23"/>
      <c r="E83" s="69" t="s">
        <v>953</v>
      </c>
    </row>
    <row r="84" customFormat="false" ht="31.5" hidden="false" customHeight="true" outlineLevel="0" collapsed="false">
      <c r="A84" s="7" t="s">
        <v>954</v>
      </c>
      <c r="B84" s="23" t="s">
        <v>949</v>
      </c>
      <c r="C84" s="23"/>
      <c r="D84" s="23"/>
      <c r="E84" s="69" t="s">
        <v>910</v>
      </c>
    </row>
    <row r="85" customFormat="false" ht="31.5" hidden="false" customHeight="true" outlineLevel="0" collapsed="false">
      <c r="A85" s="7" t="s">
        <v>955</v>
      </c>
      <c r="B85" s="23" t="s">
        <v>956</v>
      </c>
      <c r="C85" s="23"/>
      <c r="D85" s="23"/>
      <c r="E85" s="69" t="s">
        <v>957</v>
      </c>
    </row>
    <row r="86" customFormat="false" ht="31.5" hidden="false" customHeight="true" outlineLevel="0" collapsed="false">
      <c r="A86" s="7" t="s">
        <v>927</v>
      </c>
      <c r="B86" s="23" t="s">
        <v>958</v>
      </c>
      <c r="C86" s="23"/>
      <c r="D86" s="23"/>
      <c r="E86" s="69" t="s">
        <v>959</v>
      </c>
    </row>
    <row r="87" customFormat="false" ht="31.5" hidden="false" customHeight="true" outlineLevel="0" collapsed="false">
      <c r="A87" s="7" t="s">
        <v>516</v>
      </c>
      <c r="B87" s="23" t="s">
        <v>960</v>
      </c>
      <c r="C87" s="23"/>
      <c r="D87" s="23"/>
      <c r="E87" s="69" t="s">
        <v>961</v>
      </c>
    </row>
    <row r="88" customFormat="false" ht="15" hidden="false" customHeight="true" outlineLevel="0" collapsed="false">
      <c r="A88" s="40" t="s">
        <v>452</v>
      </c>
      <c r="B88" s="41"/>
      <c r="C88" s="41"/>
      <c r="D88" s="41"/>
      <c r="E88" s="70" t="s">
        <v>961</v>
      </c>
    </row>
    <row r="89" customFormat="false" ht="49.5" hidden="false" customHeight="true" outlineLevel="0" collapsed="false">
      <c r="A89" s="71" t="s">
        <v>858</v>
      </c>
      <c r="B89" s="72" t="s">
        <v>962</v>
      </c>
      <c r="C89" s="72"/>
      <c r="D89" s="72"/>
      <c r="E89" s="72"/>
    </row>
    <row r="91" customFormat="false" ht="21.75" hidden="false" customHeight="true" outlineLevel="0" collapsed="false">
      <c r="A91" s="68" t="s">
        <v>963</v>
      </c>
      <c r="B91" s="68"/>
      <c r="C91" s="68"/>
      <c r="D91" s="68"/>
      <c r="E91" s="68"/>
    </row>
    <row r="92" customFormat="false" ht="60" hidden="false" customHeight="true" outlineLevel="0" collapsed="false">
      <c r="A92" s="4" t="s">
        <v>847</v>
      </c>
      <c r="B92" s="5" t="s">
        <v>964</v>
      </c>
      <c r="C92" s="5"/>
      <c r="D92" s="5"/>
      <c r="E92" s="5"/>
    </row>
    <row r="93" customFormat="false" ht="15" hidden="false" customHeight="true" outlineLevel="0" collapsed="false">
      <c r="A93" s="6" t="s">
        <v>849</v>
      </c>
      <c r="B93" s="6" t="s">
        <v>61</v>
      </c>
      <c r="C93" s="6"/>
      <c r="D93" s="6"/>
      <c r="E93" s="6" t="s">
        <v>850</v>
      </c>
    </row>
    <row r="94" customFormat="false" ht="31.5" hidden="false" customHeight="true" outlineLevel="0" collapsed="false">
      <c r="A94" s="7" t="s">
        <v>965</v>
      </c>
      <c r="B94" s="23" t="s">
        <v>966</v>
      </c>
      <c r="C94" s="23"/>
      <c r="D94" s="23"/>
      <c r="E94" s="69" t="s">
        <v>967</v>
      </c>
    </row>
    <row r="95" customFormat="false" ht="31.5" hidden="false" customHeight="true" outlineLevel="0" collapsed="false">
      <c r="A95" s="7" t="s">
        <v>968</v>
      </c>
      <c r="B95" s="23" t="s">
        <v>966</v>
      </c>
      <c r="C95" s="23"/>
      <c r="D95" s="23"/>
      <c r="E95" s="69" t="s">
        <v>967</v>
      </c>
    </row>
    <row r="96" customFormat="false" ht="31.5" hidden="false" customHeight="true" outlineLevel="0" collapsed="false">
      <c r="A96" s="7" t="s">
        <v>969</v>
      </c>
      <c r="B96" s="23" t="s">
        <v>970</v>
      </c>
      <c r="C96" s="23"/>
      <c r="D96" s="23"/>
      <c r="E96" s="69" t="s">
        <v>967</v>
      </c>
    </row>
    <row r="97" customFormat="false" ht="31.5" hidden="false" customHeight="true" outlineLevel="0" collapsed="false">
      <c r="A97" s="7" t="s">
        <v>971</v>
      </c>
      <c r="B97" s="23" t="s">
        <v>966</v>
      </c>
      <c r="C97" s="23"/>
      <c r="D97" s="23"/>
      <c r="E97" s="69" t="s">
        <v>967</v>
      </c>
    </row>
    <row r="98" customFormat="false" ht="31.5" hidden="false" customHeight="true" outlineLevel="0" collapsed="false">
      <c r="A98" s="7" t="s">
        <v>972</v>
      </c>
      <c r="B98" s="23" t="s">
        <v>973</v>
      </c>
      <c r="C98" s="23"/>
      <c r="D98" s="23"/>
      <c r="E98" s="69" t="s">
        <v>974</v>
      </c>
    </row>
    <row r="99" customFormat="false" ht="31.5" hidden="false" customHeight="true" outlineLevel="0" collapsed="false">
      <c r="A99" s="14" t="s">
        <v>975</v>
      </c>
      <c r="B99" s="73" t="s">
        <v>976</v>
      </c>
      <c r="C99" s="73"/>
      <c r="D99" s="73"/>
      <c r="E99" s="52"/>
    </row>
    <row r="100" customFormat="false" ht="31.5" hidden="false" customHeight="true" outlineLevel="0" collapsed="false">
      <c r="A100" s="14" t="s">
        <v>977</v>
      </c>
      <c r="B100" s="73" t="s">
        <v>978</v>
      </c>
      <c r="C100" s="73"/>
      <c r="D100" s="73"/>
      <c r="E100" s="52" t="s">
        <v>979</v>
      </c>
    </row>
    <row r="101" customFormat="false" ht="31.5" hidden="false" customHeight="true" outlineLevel="0" collapsed="false">
      <c r="A101" s="7" t="s">
        <v>980</v>
      </c>
      <c r="B101" s="23" t="s">
        <v>916</v>
      </c>
      <c r="C101" s="23"/>
      <c r="D101" s="23"/>
      <c r="E101" s="69" t="s">
        <v>916</v>
      </c>
    </row>
    <row r="102" customFormat="false" ht="31.5" hidden="false" customHeight="true" outlineLevel="0" collapsed="false">
      <c r="A102" s="7" t="s">
        <v>981</v>
      </c>
      <c r="B102" s="23" t="s">
        <v>982</v>
      </c>
      <c r="C102" s="23"/>
      <c r="D102" s="23"/>
      <c r="E102" s="69" t="s">
        <v>983</v>
      </c>
    </row>
    <row r="103" customFormat="false" ht="31.5" hidden="false" customHeight="true" outlineLevel="0" collapsed="false">
      <c r="A103" s="7" t="s">
        <v>853</v>
      </c>
      <c r="B103" s="23" t="s">
        <v>984</v>
      </c>
      <c r="C103" s="23"/>
      <c r="D103" s="23"/>
      <c r="E103" s="69" t="s">
        <v>983</v>
      </c>
    </row>
    <row r="104" customFormat="false" ht="31.5" hidden="false" customHeight="true" outlineLevel="0" collapsed="false">
      <c r="A104" s="7" t="s">
        <v>985</v>
      </c>
      <c r="B104" s="23" t="s">
        <v>986</v>
      </c>
      <c r="C104" s="23"/>
      <c r="D104" s="23"/>
      <c r="E104" s="69" t="s">
        <v>987</v>
      </c>
    </row>
    <row r="105" customFormat="false" ht="15" hidden="false" customHeight="true" outlineLevel="0" collapsed="false">
      <c r="A105" s="40" t="s">
        <v>452</v>
      </c>
      <c r="B105" s="41"/>
      <c r="C105" s="41"/>
      <c r="D105" s="41"/>
      <c r="E105" s="70" t="s">
        <v>988</v>
      </c>
    </row>
    <row r="106" customFormat="false" ht="60" hidden="false" customHeight="true" outlineLevel="0" collapsed="false">
      <c r="A106" s="71" t="s">
        <v>858</v>
      </c>
      <c r="B106" s="72" t="s">
        <v>989</v>
      </c>
      <c r="C106" s="72"/>
      <c r="D106" s="72"/>
      <c r="E106" s="72"/>
    </row>
    <row r="108" customFormat="false" ht="21.75" hidden="false" customHeight="true" outlineLevel="0" collapsed="false">
      <c r="A108" s="68" t="s">
        <v>990</v>
      </c>
      <c r="B108" s="68"/>
      <c r="C108" s="68"/>
      <c r="D108" s="68"/>
      <c r="E108" s="68"/>
    </row>
    <row r="109" customFormat="false" ht="60" hidden="false" customHeight="true" outlineLevel="0" collapsed="false">
      <c r="A109" s="4" t="s">
        <v>847</v>
      </c>
      <c r="B109" s="5" t="s">
        <v>991</v>
      </c>
      <c r="C109" s="5"/>
      <c r="D109" s="5"/>
      <c r="E109" s="5"/>
    </row>
    <row r="110" customFormat="false" ht="15" hidden="false" customHeight="true" outlineLevel="0" collapsed="false">
      <c r="A110" s="6" t="s">
        <v>849</v>
      </c>
      <c r="B110" s="6" t="s">
        <v>61</v>
      </c>
      <c r="C110" s="6"/>
      <c r="D110" s="6"/>
      <c r="E110" s="6" t="s">
        <v>850</v>
      </c>
    </row>
    <row r="111" customFormat="false" ht="31.5" hidden="false" customHeight="true" outlineLevel="0" collapsed="false">
      <c r="A111" s="7" t="s">
        <v>992</v>
      </c>
      <c r="B111" s="23" t="s">
        <v>993</v>
      </c>
      <c r="C111" s="23"/>
      <c r="D111" s="23"/>
      <c r="E111" s="69" t="s">
        <v>994</v>
      </c>
    </row>
    <row r="112" customFormat="false" ht="31.5" hidden="false" customHeight="true" outlineLevel="0" collapsed="false">
      <c r="A112" s="7" t="s">
        <v>995</v>
      </c>
      <c r="B112" s="23" t="s">
        <v>996</v>
      </c>
      <c r="C112" s="23"/>
      <c r="D112" s="23"/>
      <c r="E112" s="69" t="s">
        <v>994</v>
      </c>
    </row>
    <row r="113" customFormat="false" ht="31.5" hidden="false" customHeight="true" outlineLevel="0" collapsed="false">
      <c r="A113" s="7" t="s">
        <v>997</v>
      </c>
      <c r="B113" s="23" t="s">
        <v>998</v>
      </c>
      <c r="C113" s="23"/>
      <c r="D113" s="23"/>
      <c r="E113" s="69" t="s">
        <v>999</v>
      </c>
    </row>
    <row r="114" customFormat="false" ht="31.5" hidden="false" customHeight="true" outlineLevel="0" collapsed="false">
      <c r="A114" s="7" t="s">
        <v>1000</v>
      </c>
      <c r="B114" s="23" t="s">
        <v>993</v>
      </c>
      <c r="C114" s="23"/>
      <c r="D114" s="23"/>
      <c r="E114" s="69" t="s">
        <v>994</v>
      </c>
    </row>
    <row r="115" customFormat="false" ht="31.5" hidden="false" customHeight="true" outlineLevel="0" collapsed="false">
      <c r="A115" s="7" t="s">
        <v>972</v>
      </c>
      <c r="B115" s="23" t="s">
        <v>973</v>
      </c>
      <c r="C115" s="23"/>
      <c r="D115" s="23"/>
      <c r="E115" s="69" t="s">
        <v>1001</v>
      </c>
    </row>
    <row r="116" customFormat="false" ht="31.5" hidden="false" customHeight="true" outlineLevel="0" collapsed="false">
      <c r="A116" s="14" t="s">
        <v>201</v>
      </c>
      <c r="B116" s="73" t="s">
        <v>1002</v>
      </c>
      <c r="C116" s="73"/>
      <c r="D116" s="73"/>
      <c r="E116" s="52"/>
    </row>
    <row r="117" customFormat="false" ht="31.5" hidden="false" customHeight="true" outlineLevel="0" collapsed="false">
      <c r="A117" s="14" t="s">
        <v>977</v>
      </c>
      <c r="B117" s="73" t="s">
        <v>1003</v>
      </c>
      <c r="C117" s="73"/>
      <c r="D117" s="73"/>
      <c r="E117" s="52" t="s">
        <v>1004</v>
      </c>
    </row>
    <row r="118" customFormat="false" ht="31.5" hidden="false" customHeight="true" outlineLevel="0" collapsed="false">
      <c r="A118" s="7" t="s">
        <v>1005</v>
      </c>
      <c r="B118" s="23" t="s">
        <v>916</v>
      </c>
      <c r="C118" s="23"/>
      <c r="D118" s="23"/>
      <c r="E118" s="69" t="s">
        <v>916</v>
      </c>
    </row>
    <row r="119" customFormat="false" ht="15" hidden="false" customHeight="true" outlineLevel="0" collapsed="false">
      <c r="A119" s="40" t="s">
        <v>452</v>
      </c>
      <c r="B119" s="41"/>
      <c r="C119" s="41"/>
      <c r="D119" s="41"/>
      <c r="E119" s="70" t="s">
        <v>1006</v>
      </c>
    </row>
    <row r="120" customFormat="false" ht="60" hidden="false" customHeight="true" outlineLevel="0" collapsed="false">
      <c r="A120" s="71" t="s">
        <v>858</v>
      </c>
      <c r="B120" s="72" t="s">
        <v>1007</v>
      </c>
      <c r="C120" s="72"/>
      <c r="D120" s="72"/>
      <c r="E120" s="72"/>
    </row>
    <row r="122" customFormat="false" ht="21.75" hidden="false" customHeight="true" outlineLevel="0" collapsed="false">
      <c r="A122" s="68" t="s">
        <v>1008</v>
      </c>
      <c r="B122" s="68"/>
      <c r="C122" s="68"/>
      <c r="D122" s="68"/>
      <c r="E122" s="68"/>
    </row>
    <row r="123" customFormat="false" ht="60" hidden="false" customHeight="true" outlineLevel="0" collapsed="false">
      <c r="A123" s="4" t="s">
        <v>847</v>
      </c>
      <c r="B123" s="5" t="s">
        <v>1009</v>
      </c>
      <c r="C123" s="5"/>
      <c r="D123" s="5"/>
      <c r="E123" s="5"/>
    </row>
    <row r="124" customFormat="false" ht="15" hidden="false" customHeight="true" outlineLevel="0" collapsed="false">
      <c r="A124" s="6" t="s">
        <v>849</v>
      </c>
      <c r="B124" s="6" t="s">
        <v>61</v>
      </c>
      <c r="C124" s="6"/>
      <c r="D124" s="6"/>
      <c r="E124" s="6" t="s">
        <v>850</v>
      </c>
    </row>
    <row r="125" customFormat="false" ht="31.5" hidden="false" customHeight="true" outlineLevel="0" collapsed="false">
      <c r="A125" s="7" t="s">
        <v>1010</v>
      </c>
      <c r="B125" s="23" t="s">
        <v>1011</v>
      </c>
      <c r="C125" s="23"/>
      <c r="D125" s="23"/>
      <c r="E125" s="69" t="s">
        <v>1012</v>
      </c>
    </row>
    <row r="126" customFormat="false" ht="31.5" hidden="false" customHeight="true" outlineLevel="0" collapsed="false">
      <c r="A126" s="7" t="s">
        <v>1013</v>
      </c>
      <c r="B126" s="23" t="s">
        <v>1011</v>
      </c>
      <c r="C126" s="23"/>
      <c r="D126" s="23"/>
      <c r="E126" s="69" t="s">
        <v>1012</v>
      </c>
    </row>
    <row r="127" customFormat="false" ht="31.5" hidden="false" customHeight="true" outlineLevel="0" collapsed="false">
      <c r="A127" s="7" t="s">
        <v>1014</v>
      </c>
      <c r="B127" s="23" t="s">
        <v>1015</v>
      </c>
      <c r="C127" s="23"/>
      <c r="D127" s="23"/>
      <c r="E127" s="69" t="s">
        <v>1012</v>
      </c>
    </row>
    <row r="128" customFormat="false" ht="31.5" hidden="false" customHeight="true" outlineLevel="0" collapsed="false">
      <c r="A128" s="7" t="s">
        <v>1016</v>
      </c>
      <c r="B128" s="23" t="s">
        <v>1011</v>
      </c>
      <c r="C128" s="23"/>
      <c r="D128" s="23"/>
      <c r="E128" s="69" t="s">
        <v>1012</v>
      </c>
    </row>
    <row r="129" customFormat="false" ht="31.5" hidden="false" customHeight="true" outlineLevel="0" collapsed="false">
      <c r="A129" s="7" t="s">
        <v>972</v>
      </c>
      <c r="B129" s="23" t="s">
        <v>973</v>
      </c>
      <c r="C129" s="23"/>
      <c r="D129" s="23"/>
      <c r="E129" s="69" t="s">
        <v>1017</v>
      </c>
    </row>
    <row r="130" customFormat="false" ht="31.5" hidden="false" customHeight="true" outlineLevel="0" collapsed="false">
      <c r="A130" s="14" t="s">
        <v>1018</v>
      </c>
      <c r="B130" s="73" t="s">
        <v>1019</v>
      </c>
      <c r="C130" s="73"/>
      <c r="D130" s="73"/>
      <c r="E130" s="52"/>
    </row>
    <row r="131" customFormat="false" ht="31.5" hidden="false" customHeight="true" outlineLevel="0" collapsed="false">
      <c r="A131" s="14" t="s">
        <v>977</v>
      </c>
      <c r="B131" s="73" t="s">
        <v>1020</v>
      </c>
      <c r="C131" s="73"/>
      <c r="D131" s="73"/>
      <c r="E131" s="52" t="s">
        <v>1021</v>
      </c>
    </row>
    <row r="132" customFormat="false" ht="31.5" hidden="false" customHeight="true" outlineLevel="0" collapsed="false">
      <c r="A132" s="7" t="s">
        <v>1022</v>
      </c>
      <c r="B132" s="23" t="s">
        <v>1023</v>
      </c>
      <c r="C132" s="23"/>
      <c r="D132" s="23"/>
      <c r="E132" s="69" t="s">
        <v>953</v>
      </c>
    </row>
    <row r="133" customFormat="false" ht="31.5" hidden="false" customHeight="true" outlineLevel="0" collapsed="false">
      <c r="A133" s="7" t="s">
        <v>1024</v>
      </c>
      <c r="B133" s="23" t="s">
        <v>1025</v>
      </c>
      <c r="C133" s="23"/>
      <c r="D133" s="23"/>
      <c r="E133" s="69" t="s">
        <v>1026</v>
      </c>
    </row>
    <row r="134" customFormat="false" ht="31.5" hidden="false" customHeight="true" outlineLevel="0" collapsed="false">
      <c r="A134" s="7" t="s">
        <v>853</v>
      </c>
      <c r="B134" s="23" t="s">
        <v>1027</v>
      </c>
      <c r="C134" s="23"/>
      <c r="D134" s="23"/>
      <c r="E134" s="69" t="s">
        <v>1026</v>
      </c>
    </row>
    <row r="135" customFormat="false" ht="15" hidden="false" customHeight="true" outlineLevel="0" collapsed="false">
      <c r="A135" s="40" t="s">
        <v>452</v>
      </c>
      <c r="B135" s="41"/>
      <c r="C135" s="41"/>
      <c r="D135" s="41"/>
      <c r="E135" s="70" t="s">
        <v>1028</v>
      </c>
    </row>
    <row r="136" customFormat="false" ht="60" hidden="false" customHeight="true" outlineLevel="0" collapsed="false">
      <c r="A136" s="71" t="s">
        <v>858</v>
      </c>
      <c r="B136" s="72" t="s">
        <v>1029</v>
      </c>
      <c r="C136" s="72"/>
      <c r="D136" s="72"/>
      <c r="E136" s="72"/>
    </row>
  </sheetData>
  <mergeCells count="102">
    <mergeCell ref="A2:E2"/>
    <mergeCell ref="A4:E4"/>
    <mergeCell ref="B5:E5"/>
    <mergeCell ref="B7:D7"/>
    <mergeCell ref="B8:D8"/>
    <mergeCell ref="B9:D9"/>
    <mergeCell ref="B11:E11"/>
    <mergeCell ref="A13:E13"/>
    <mergeCell ref="B14:E14"/>
    <mergeCell ref="B16:D16"/>
    <mergeCell ref="B17:D17"/>
    <mergeCell ref="B18:D18"/>
    <mergeCell ref="B20:E20"/>
    <mergeCell ref="A22:E22"/>
    <mergeCell ref="B23:E23"/>
    <mergeCell ref="B25:D25"/>
    <mergeCell ref="B26:D26"/>
    <mergeCell ref="B27:D27"/>
    <mergeCell ref="B28:D28"/>
    <mergeCell ref="B29:D29"/>
    <mergeCell ref="B30:D30"/>
    <mergeCell ref="B31:D31"/>
    <mergeCell ref="B32:D32"/>
    <mergeCell ref="B34:E34"/>
    <mergeCell ref="A36:E36"/>
    <mergeCell ref="B37:E37"/>
    <mergeCell ref="B39:D39"/>
    <mergeCell ref="B40:D40"/>
    <mergeCell ref="B41:D41"/>
    <mergeCell ref="B43:E43"/>
    <mergeCell ref="A45:E45"/>
    <mergeCell ref="B46:E46"/>
    <mergeCell ref="B48:D48"/>
    <mergeCell ref="B49:D49"/>
    <mergeCell ref="B50:D50"/>
    <mergeCell ref="B51:D51"/>
    <mergeCell ref="B52:D52"/>
    <mergeCell ref="B53:D53"/>
    <mergeCell ref="B54:D54"/>
    <mergeCell ref="B56:E56"/>
    <mergeCell ref="A58:E58"/>
    <mergeCell ref="B59:E59"/>
    <mergeCell ref="B61:D61"/>
    <mergeCell ref="B62:D62"/>
    <mergeCell ref="B63:D63"/>
    <mergeCell ref="B64:D64"/>
    <mergeCell ref="B66:E66"/>
    <mergeCell ref="A68:E68"/>
    <mergeCell ref="B69:E69"/>
    <mergeCell ref="B71:D71"/>
    <mergeCell ref="B72:D72"/>
    <mergeCell ref="B73:D73"/>
    <mergeCell ref="B74:D74"/>
    <mergeCell ref="B76:E76"/>
    <mergeCell ref="A78:E78"/>
    <mergeCell ref="B79:E79"/>
    <mergeCell ref="B81:D81"/>
    <mergeCell ref="B82:D82"/>
    <mergeCell ref="B83:D83"/>
    <mergeCell ref="B84:D84"/>
    <mergeCell ref="B85:D85"/>
    <mergeCell ref="B86:D86"/>
    <mergeCell ref="B87:D87"/>
    <mergeCell ref="B89:E89"/>
    <mergeCell ref="A91:E91"/>
    <mergeCell ref="B92:E92"/>
    <mergeCell ref="B94:D94"/>
    <mergeCell ref="B95:D95"/>
    <mergeCell ref="B96:D96"/>
    <mergeCell ref="B97:D97"/>
    <mergeCell ref="B98:D98"/>
    <mergeCell ref="B99:D99"/>
    <mergeCell ref="B100:D100"/>
    <mergeCell ref="B101:D101"/>
    <mergeCell ref="B102:D102"/>
    <mergeCell ref="B103:D103"/>
    <mergeCell ref="B104:D104"/>
    <mergeCell ref="B106:E106"/>
    <mergeCell ref="A108:E108"/>
    <mergeCell ref="B109:E109"/>
    <mergeCell ref="B111:D111"/>
    <mergeCell ref="B112:D112"/>
    <mergeCell ref="B113:D113"/>
    <mergeCell ref="B114:D114"/>
    <mergeCell ref="B115:D115"/>
    <mergeCell ref="B116:D116"/>
    <mergeCell ref="B117:D117"/>
    <mergeCell ref="B118:D118"/>
    <mergeCell ref="B120:E120"/>
    <mergeCell ref="A122:E122"/>
    <mergeCell ref="B123:E123"/>
    <mergeCell ref="B125:D125"/>
    <mergeCell ref="B126:D126"/>
    <mergeCell ref="B127:D127"/>
    <mergeCell ref="B128:D128"/>
    <mergeCell ref="B129:D129"/>
    <mergeCell ref="B130:D130"/>
    <mergeCell ref="B131:D131"/>
    <mergeCell ref="B132:D132"/>
    <mergeCell ref="B133:D133"/>
    <mergeCell ref="B134:D134"/>
    <mergeCell ref="B136:E1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00"/>
  </cols>
  <sheetData>
    <row r="1" customFormat="false" ht="17.25" hidden="false" customHeight="true" outlineLevel="0" collapsed="false">
      <c r="A1" s="2" t="s">
        <v>1030</v>
      </c>
    </row>
    <row r="2" customFormat="false" ht="15" hidden="false" customHeight="true" outlineLevel="0" collapsed="false">
      <c r="A2" s="3" t="s">
        <v>1031</v>
      </c>
    </row>
    <row r="4" customFormat="false" ht="21.75" hidden="false" customHeight="true" outlineLevel="0" collapsed="false">
      <c r="A4" s="6" t="s">
        <v>1032</v>
      </c>
      <c r="B4" s="6" t="s">
        <v>1033</v>
      </c>
    </row>
    <row r="5" customFormat="false" ht="37.5" hidden="false" customHeight="true" outlineLevel="0" collapsed="false">
      <c r="A5" s="22" t="s">
        <v>1034</v>
      </c>
      <c r="B5" s="20" t="s">
        <v>1035</v>
      </c>
    </row>
    <row r="6" customFormat="false" ht="37.5" hidden="false" customHeight="true" outlineLevel="0" collapsed="false">
      <c r="A6" s="22" t="s">
        <v>1036</v>
      </c>
      <c r="B6" s="20" t="s">
        <v>1037</v>
      </c>
    </row>
    <row r="7" customFormat="false" ht="37.5" hidden="false" customHeight="true" outlineLevel="0" collapsed="false">
      <c r="A7" s="22" t="s">
        <v>1038</v>
      </c>
      <c r="B7" s="20" t="s">
        <v>1039</v>
      </c>
    </row>
    <row r="8" customFormat="false" ht="37.5" hidden="false" customHeight="true" outlineLevel="0" collapsed="false">
      <c r="A8" s="22" t="s">
        <v>1040</v>
      </c>
      <c r="B8" s="20" t="s">
        <v>1041</v>
      </c>
    </row>
    <row r="9" customFormat="false" ht="37.5" hidden="false" customHeight="true" outlineLevel="0" collapsed="false">
      <c r="A9" s="22" t="s">
        <v>1042</v>
      </c>
      <c r="B9" s="20" t="s">
        <v>1043</v>
      </c>
    </row>
    <row r="10" customFormat="false" ht="37.5" hidden="false" customHeight="true" outlineLevel="0" collapsed="false">
      <c r="A10" s="22" t="s">
        <v>1044</v>
      </c>
      <c r="B10" s="20" t="s">
        <v>1045</v>
      </c>
    </row>
    <row r="11" customFormat="false" ht="37.5" hidden="false" customHeight="true" outlineLevel="0" collapsed="false">
      <c r="A11" s="22" t="s">
        <v>1046</v>
      </c>
      <c r="B11" s="20" t="s">
        <v>1047</v>
      </c>
    </row>
    <row r="12" customFormat="false" ht="37.5" hidden="false" customHeight="true" outlineLevel="0" collapsed="false">
      <c r="A12" s="22" t="s">
        <v>1048</v>
      </c>
      <c r="B12" s="20" t="s">
        <v>1049</v>
      </c>
    </row>
    <row r="13" customFormat="false" ht="37.5" hidden="false" customHeight="true" outlineLevel="0" collapsed="false">
      <c r="A13" s="22" t="s">
        <v>1050</v>
      </c>
      <c r="B13" s="20" t="s">
        <v>1051</v>
      </c>
    </row>
    <row r="14" customFormat="false" ht="37.5" hidden="false" customHeight="true" outlineLevel="0" collapsed="false">
      <c r="A14" s="22" t="s">
        <v>1052</v>
      </c>
      <c r="B14" s="20" t="s">
        <v>1053</v>
      </c>
    </row>
    <row r="15" customFormat="false" ht="37.5" hidden="false" customHeight="true" outlineLevel="0" collapsed="false">
      <c r="A15" s="22" t="s">
        <v>1054</v>
      </c>
      <c r="B15" s="20" t="s">
        <v>1055</v>
      </c>
    </row>
    <row r="16" customFormat="false" ht="37.5" hidden="false" customHeight="true" outlineLevel="0" collapsed="false">
      <c r="A16" s="22" t="s">
        <v>1056</v>
      </c>
      <c r="B16" s="20" t="s">
        <v>1057</v>
      </c>
    </row>
    <row r="17" customFormat="false" ht="37.5" hidden="false" customHeight="true" outlineLevel="0" collapsed="false">
      <c r="A17" s="22" t="s">
        <v>1058</v>
      </c>
      <c r="B17" s="20" t="s">
        <v>1059</v>
      </c>
    </row>
    <row r="18" customFormat="false" ht="37.5" hidden="false" customHeight="true" outlineLevel="0" collapsed="false">
      <c r="A18" s="22" t="s">
        <v>1060</v>
      </c>
      <c r="B18" s="20" t="s">
        <v>1061</v>
      </c>
    </row>
    <row r="19" customFormat="false" ht="37.5" hidden="false" customHeight="true" outlineLevel="0" collapsed="false">
      <c r="A19" s="22" t="s">
        <v>1062</v>
      </c>
      <c r="B19" s="20" t="s">
        <v>1063</v>
      </c>
    </row>
    <row r="20" customFormat="false" ht="37.5" hidden="false" customHeight="true" outlineLevel="0" collapsed="false">
      <c r="A20" s="22" t="s">
        <v>1064</v>
      </c>
      <c r="B20" s="20" t="s">
        <v>1065</v>
      </c>
    </row>
    <row r="21" customFormat="false" ht="37.5" hidden="false" customHeight="true" outlineLevel="0" collapsed="false">
      <c r="A21" s="22" t="s">
        <v>1066</v>
      </c>
      <c r="B21" s="20" t="s">
        <v>1067</v>
      </c>
    </row>
    <row r="22" customFormat="false" ht="37.5" hidden="false" customHeight="true" outlineLevel="0" collapsed="false">
      <c r="A22" s="22" t="s">
        <v>1068</v>
      </c>
      <c r="B22" s="20" t="s">
        <v>1069</v>
      </c>
    </row>
    <row r="23" customFormat="false" ht="37.5" hidden="false" customHeight="true" outlineLevel="0" collapsed="false">
      <c r="A23" s="22" t="s">
        <v>1070</v>
      </c>
      <c r="B23" s="20" t="s">
        <v>1071</v>
      </c>
    </row>
    <row r="24" customFormat="false" ht="37.5" hidden="false" customHeight="true" outlineLevel="0" collapsed="false">
      <c r="A24" s="22" t="s">
        <v>1072</v>
      </c>
      <c r="B24" s="20" t="s">
        <v>1073</v>
      </c>
    </row>
    <row r="25" customFormat="false" ht="37.5" hidden="false" customHeight="true" outlineLevel="0" collapsed="false">
      <c r="A25" s="22" t="s">
        <v>1074</v>
      </c>
      <c r="B25" s="20" t="s">
        <v>1075</v>
      </c>
    </row>
    <row r="26" customFormat="false" ht="37.5" hidden="false" customHeight="true" outlineLevel="0" collapsed="false">
      <c r="A26" s="22" t="s">
        <v>1076</v>
      </c>
      <c r="B26" s="20" t="s">
        <v>1077</v>
      </c>
    </row>
    <row r="27" customFormat="false" ht="37.5" hidden="false" customHeight="true" outlineLevel="0" collapsed="false">
      <c r="A27" s="22" t="s">
        <v>1078</v>
      </c>
      <c r="B27" s="20" t="s">
        <v>1079</v>
      </c>
    </row>
    <row r="28" customFormat="false" ht="37.5" hidden="false" customHeight="true" outlineLevel="0" collapsed="false">
      <c r="A28" s="22" t="s">
        <v>1080</v>
      </c>
      <c r="B28" s="20" t="s">
        <v>1081</v>
      </c>
    </row>
    <row r="29" customFormat="false" ht="37.5" hidden="false" customHeight="true" outlineLevel="0" collapsed="false">
      <c r="A29" s="22" t="s">
        <v>1082</v>
      </c>
      <c r="B29" s="20" t="s">
        <v>1083</v>
      </c>
    </row>
    <row r="30" customFormat="false" ht="37.5" hidden="false" customHeight="true" outlineLevel="0" collapsed="false">
      <c r="A30" s="22" t="s">
        <v>1084</v>
      </c>
      <c r="B30" s="20" t="s">
        <v>1085</v>
      </c>
    </row>
    <row r="31" customFormat="false" ht="48" hidden="false" customHeight="true" outlineLevel="0" collapsed="false">
      <c r="A31" s="22" t="s">
        <v>1086</v>
      </c>
      <c r="B31" s="20" t="s">
        <v>1087</v>
      </c>
    </row>
    <row r="32" customFormat="false" ht="48" hidden="false" customHeight="true" outlineLevel="0" collapsed="false">
      <c r="A32" s="22" t="s">
        <v>1088</v>
      </c>
      <c r="B32" s="20" t="s">
        <v>1089</v>
      </c>
    </row>
    <row r="33" customFormat="false" ht="48" hidden="false" customHeight="true" outlineLevel="0" collapsed="false">
      <c r="A33" s="22" t="s">
        <v>1090</v>
      </c>
      <c r="B33" s="20" t="s">
        <v>1091</v>
      </c>
    </row>
    <row r="34" customFormat="false" ht="48" hidden="false" customHeight="true" outlineLevel="0" collapsed="false">
      <c r="A34" s="22" t="s">
        <v>1092</v>
      </c>
      <c r="B34" s="20" t="s">
        <v>1093</v>
      </c>
    </row>
    <row r="35" customFormat="false" ht="48" hidden="false" customHeight="true" outlineLevel="0" collapsed="false">
      <c r="A35" s="22" t="s">
        <v>1094</v>
      </c>
      <c r="B35" s="20" t="s">
        <v>1095</v>
      </c>
    </row>
    <row r="36" customFormat="false" ht="48" hidden="false" customHeight="true" outlineLevel="0" collapsed="false">
      <c r="A36" s="22" t="s">
        <v>1096</v>
      </c>
      <c r="B36" s="20" t="s">
        <v>1097</v>
      </c>
    </row>
    <row r="37" customFormat="false" ht="48" hidden="false" customHeight="true" outlineLevel="0" collapsed="false">
      <c r="A37" s="22" t="s">
        <v>1098</v>
      </c>
      <c r="B37" s="20" t="s">
        <v>1099</v>
      </c>
    </row>
    <row r="38" customFormat="false" ht="48" hidden="false" customHeight="true" outlineLevel="0" collapsed="false">
      <c r="A38" s="22" t="s">
        <v>1100</v>
      </c>
      <c r="B38" s="20" t="s">
        <v>1101</v>
      </c>
    </row>
    <row r="39" customFormat="false" ht="39.75" hidden="false" customHeight="true" outlineLevel="0" collapsed="false">
      <c r="A39" s="22" t="s">
        <v>353</v>
      </c>
      <c r="B39" s="20" t="s">
        <v>1102</v>
      </c>
    </row>
    <row r="40" customFormat="false" ht="39.75" hidden="false" customHeight="true" outlineLevel="0" collapsed="false">
      <c r="A40" s="22" t="s">
        <v>1103</v>
      </c>
      <c r="B40" s="20" t="s">
        <v>1104</v>
      </c>
    </row>
    <row r="41" customFormat="false" ht="39.75" hidden="false" customHeight="true" outlineLevel="0" collapsed="false">
      <c r="A41" s="22" t="s">
        <v>1105</v>
      </c>
      <c r="B41" s="20" t="s">
        <v>1106</v>
      </c>
    </row>
    <row r="42" customFormat="false" ht="39.75" hidden="false" customHeight="true" outlineLevel="0" collapsed="false">
      <c r="A42" s="22" t="s">
        <v>1107</v>
      </c>
      <c r="B42" s="20" t="s">
        <v>1108</v>
      </c>
    </row>
    <row r="43" customFormat="false" ht="39.75" hidden="false" customHeight="true" outlineLevel="0" collapsed="false">
      <c r="A43" s="22" t="s">
        <v>1109</v>
      </c>
      <c r="B43" s="20" t="s">
        <v>1110</v>
      </c>
    </row>
    <row r="44" customFormat="false" ht="39.75" hidden="false" customHeight="true" outlineLevel="0" collapsed="false">
      <c r="A44" s="22" t="s">
        <v>1111</v>
      </c>
      <c r="B44" s="20" t="s">
        <v>1112</v>
      </c>
    </row>
    <row r="45" customFormat="false" ht="39.75" hidden="false" customHeight="true" outlineLevel="0" collapsed="false">
      <c r="A45" s="22" t="s">
        <v>1113</v>
      </c>
      <c r="B45" s="20" t="s">
        <v>1114</v>
      </c>
    </row>
    <row r="46" customFormat="false" ht="39.75" hidden="false" customHeight="true" outlineLevel="0" collapsed="false">
      <c r="A46" s="22" t="s">
        <v>1115</v>
      </c>
      <c r="B46" s="20" t="s">
        <v>1116</v>
      </c>
    </row>
    <row r="47" customFormat="false" ht="39.75" hidden="false" customHeight="true" outlineLevel="0" collapsed="false">
      <c r="A47" s="22" t="s">
        <v>1117</v>
      </c>
      <c r="B47" s="20" t="s">
        <v>1118</v>
      </c>
    </row>
    <row r="48" customFormat="false" ht="39.75" hidden="false" customHeight="true" outlineLevel="0" collapsed="false">
      <c r="A48" s="22" t="s">
        <v>1119</v>
      </c>
      <c r="B48" s="20" t="s">
        <v>1120</v>
      </c>
    </row>
    <row r="49" customFormat="false" ht="39.75" hidden="false" customHeight="true" outlineLevel="0" collapsed="false">
      <c r="A49" s="22" t="s">
        <v>1121</v>
      </c>
      <c r="B49" s="20" t="s">
        <v>1122</v>
      </c>
    </row>
    <row r="50" customFormat="false" ht="39.75" hidden="false" customHeight="true" outlineLevel="0" collapsed="false">
      <c r="A50" s="22" t="s">
        <v>578</v>
      </c>
      <c r="B50" s="20" t="s">
        <v>1123</v>
      </c>
    </row>
    <row r="51" customFormat="false" ht="39.75" hidden="false" customHeight="true" outlineLevel="0" collapsed="false">
      <c r="A51" s="22" t="s">
        <v>1124</v>
      </c>
      <c r="B51" s="20" t="s">
        <v>1125</v>
      </c>
    </row>
    <row r="52" customFormat="false" ht="39.75" hidden="false" customHeight="true" outlineLevel="0" collapsed="false">
      <c r="A52" s="22" t="s">
        <v>1126</v>
      </c>
      <c r="B52" s="20" t="s">
        <v>1127</v>
      </c>
    </row>
    <row r="53" customFormat="false" ht="39.75" hidden="false" customHeight="true" outlineLevel="0" collapsed="false">
      <c r="A53" s="22" t="s">
        <v>1128</v>
      </c>
      <c r="B53" s="20" t="s">
        <v>1129</v>
      </c>
    </row>
    <row r="54" customFormat="false" ht="39.75" hidden="false" customHeight="true" outlineLevel="0" collapsed="false">
      <c r="A54" s="22" t="s">
        <v>1130</v>
      </c>
      <c r="B54" s="20" t="s">
        <v>1131</v>
      </c>
    </row>
    <row r="55" customFormat="false" ht="39.75" hidden="false" customHeight="true" outlineLevel="0" collapsed="false">
      <c r="A55" s="22" t="s">
        <v>1132</v>
      </c>
      <c r="B55" s="20" t="s">
        <v>1133</v>
      </c>
    </row>
    <row r="56" customFormat="false" ht="39.75" hidden="false" customHeight="true" outlineLevel="0" collapsed="false">
      <c r="A56" s="22" t="s">
        <v>666</v>
      </c>
      <c r="B56" s="20" t="s">
        <v>1134</v>
      </c>
    </row>
    <row r="57" customFormat="false" ht="39.75" hidden="false" customHeight="true" outlineLevel="0" collapsed="false">
      <c r="A57" s="22" t="s">
        <v>252</v>
      </c>
      <c r="B57" s="20" t="s">
        <v>1135</v>
      </c>
    </row>
    <row r="58" customFormat="false" ht="39.75" hidden="false" customHeight="true" outlineLevel="0" collapsed="false">
      <c r="A58" s="22" t="s">
        <v>1136</v>
      </c>
      <c r="B58" s="20" t="s">
        <v>1137</v>
      </c>
    </row>
    <row r="59" customFormat="false" ht="39.75" hidden="false" customHeight="true" outlineLevel="0" collapsed="false">
      <c r="A59" s="22" t="s">
        <v>1138</v>
      </c>
      <c r="B59" s="20" t="s">
        <v>1139</v>
      </c>
    </row>
    <row r="60" customFormat="false" ht="39.75" hidden="false" customHeight="true" outlineLevel="0" collapsed="false">
      <c r="A60" s="22" t="s">
        <v>1140</v>
      </c>
      <c r="B60" s="20" t="s">
        <v>1141</v>
      </c>
    </row>
    <row r="61" customFormat="false" ht="39.75" hidden="false" customHeight="true" outlineLevel="0" collapsed="false">
      <c r="A61" s="22" t="s">
        <v>692</v>
      </c>
      <c r="B61" s="20" t="s">
        <v>1142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2026-05-12T20:03:35Z</dcterms:created>
  <dc:creator>openpyxl</dc:creator>
  <dc:description/>
  <dc:language>en-US</dc:language>
  <cp:lastModifiedBy/>
  <dcterms:modified xsi:type="dcterms:W3CDTF">2026-05-13T03:01:21Z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